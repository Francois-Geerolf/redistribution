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SIL\Doe\PublicationsWeb\IRéf\RPM 2021\fichiers xlsx\"/>
    </mc:Choice>
  </mc:AlternateContent>
  <bookViews>
    <workbookView xWindow="0" yWindow="0" windowWidth="16815" windowHeight="6720" tabRatio="664"/>
  </bookViews>
  <sheets>
    <sheet name="Figure 1" sheetId="11" r:id="rId1"/>
    <sheet name="Figure 2" sheetId="8" r:id="rId2"/>
    <sheet name="Figure 3" sheetId="17" r:id="rId3"/>
    <sheet name="Figure 4" sheetId="13" r:id="rId4"/>
    <sheet name="Figure 5" sheetId="15" r:id="rId5"/>
    <sheet name="Figure 6" sheetId="18" r:id="rId6"/>
    <sheet name="Figure 7" sheetId="19" r:id="rId7"/>
    <sheet name="Figure 8" sheetId="9" r:id="rId8"/>
    <sheet name="Figure 9" sheetId="4" r:id="rId9"/>
    <sheet name="Figure complémentaire 1" sheetId="21" r:id="rId10"/>
    <sheet name="Figure complémentaire 2" sheetId="22" r:id="rId11"/>
  </sheets>
  <externalReferences>
    <externalReference r:id="rId12"/>
    <externalReference r:id="rId13"/>
  </externalReferences>
  <definedNames>
    <definedName name="AAH_abatt_general">[1]Barème!$B$152</definedName>
    <definedName name="AAH_abatt_salaire_t1">[1]Barème!$B$153</definedName>
    <definedName name="AAH_abatt_salaire_t2">[1]Barème!$B$154</definedName>
    <definedName name="AAH_cplmt_ressources">[1]Barème!$B$149</definedName>
    <definedName name="AAH_montant">[1]Barème!$B$148</definedName>
    <definedName name="AAH_mva">[1]Barème!$B$150</definedName>
    <definedName name="AAH_plaf_couple">[1]Barème!$B$145</definedName>
    <definedName name="AAH_plaf_seul">[1]Barème!$B$144</definedName>
    <definedName name="AAH_plaf_sup_pac">[1]Barème!$B$146</definedName>
    <definedName name="AAH_plafond_abatt_salaire">[1]Barème!$B$155</definedName>
    <definedName name="abatt_rbg_are">[1]Barème!$B$140</definedName>
    <definedName name="abatt_rfr">[1]Barème!$B$280</definedName>
    <definedName name="abt_th_4demipart">[1]Barème!$B$273</definedName>
    <definedName name="abt_th_base">[1]Barème!$B$272</definedName>
    <definedName name="abt_th_demipartsup">[1]Barème!$B$274</definedName>
    <definedName name="AF_2enft">[1]Barème!$B$34</definedName>
    <definedName name="AF_enft_sup">[1]Barème!$B$35</definedName>
    <definedName name="al_taux_compl">[1]Barème!$B$51</definedName>
    <definedName name="APL_abatt_biactifs">[1]Barème!$B$70</definedName>
    <definedName name="APL_batt_biactifs">[1]Barème!$B$70</definedName>
    <definedName name="ars11_14">[1]Barème!$B$74</definedName>
    <definedName name="ars15_18">[1]Barème!$B$75</definedName>
    <definedName name="ars6_10">[1]Barème!$B$73</definedName>
    <definedName name="assiette_PS_ARE">[1]Barème!$B$256</definedName>
    <definedName name="bmaf">[1]Barème!$B$93</definedName>
    <definedName name="bmaf_n_1">[1]Barème!$B$92</definedName>
    <definedName name="bmaf_n_2">[1]Barème!$B$91</definedName>
    <definedName name="deflat">[1]Barème!$B$289</definedName>
    <definedName name="deflat_2">[1]Barème!$B$292</definedName>
    <definedName name="deflat_3">[1]Barème!$B$291</definedName>
    <definedName name="forf_logement_rsa_1">[1]Barème!$B$19</definedName>
    <definedName name="forf_logement_rsa_2">[1]Barème!$B$20</definedName>
    <definedName name="forf_logement_rsa_3">[1]Barème!$B$21</definedName>
    <definedName name="majo_age_AF">[1]Barème!$B$36</definedName>
    <definedName name="majo_enf_ppe">[1]Barème!$B$201</definedName>
    <definedName name="majo_mono_act_ppe">[1]Barème!$B$200</definedName>
    <definedName name="majo_mono_ppe">[1]Barème!$B$200</definedName>
    <definedName name="majo_monoact_ppe">[1]Barème!$B$200</definedName>
    <definedName name="majo_monoparent_ppe">[1]Barème!$B$202</definedName>
    <definedName name="majo_tp_ppe">[1]Barème!$B$199</definedName>
    <definedName name="max_mono_ppe">[1]Barème!$B$194</definedName>
    <definedName name="max_mono_ppe_inf">[1]Barème!$B$193</definedName>
    <definedName name="max_ppe">[1]Barème!$B$192</definedName>
    <definedName name="min_ppe">[1]Barème!$B$190</definedName>
    <definedName name="mod_cotis_fam">[1]Barème!$B$248</definedName>
    <definedName name="mont_ASF_RSA">[1]Barème!$B$96</definedName>
    <definedName name="mont_ASF_total">[1]Barème!$B$95</definedName>
    <definedName name="mont_decote_celib">[1]Barème!$B$172</definedName>
    <definedName name="mont_decote_couple">[1]Barème!$B$173</definedName>
    <definedName name="mont_forfaitaire_rsa">[1]Barème!$B$10</definedName>
    <definedName name="mont_forfaitaire_rsa_majo">[1]Barème!$B$15</definedName>
    <definedName name="mont_th_couple">[1]Barème!$B$266</definedName>
    <definedName name="montant_acs_0_15">[1]Barème!$B$121</definedName>
    <definedName name="montant_acs_16_49">[1]Barème!$B$122</definedName>
    <definedName name="montant_acs_à_15">[1]Barème!$B$121</definedName>
    <definedName name="montant_CF">[1]Barème!$B$81</definedName>
    <definedName name="montant_CF_majo">[1]Barème!$B$86</definedName>
    <definedName name="montant_cmuc_0_15">[1]Barème!$B$125</definedName>
    <definedName name="montant_cmuc_16_49">[1]Barème!$B$126</definedName>
    <definedName name="montant_elec_1p">[1]Barème!$B$134</definedName>
    <definedName name="montant_elec_23p">[1]Barème!$B$135</definedName>
    <definedName name="montant_elec_4plusp">[1]Barème!$B$136</definedName>
    <definedName name="montant_paje">[1]Barème!$B$107</definedName>
    <definedName name="montant_paje_plein">[1]Barème!$B$101</definedName>
    <definedName name="montant_PO">[1]Barème!$B$48</definedName>
    <definedName name="montant_th_1pers">[1]Barème!$B$265</definedName>
    <definedName name="noel_1pers">[1]Barème!$B$23</definedName>
    <definedName name="noel_2pers">[1]Barème!$B$24</definedName>
    <definedName name="noel_3pers">[1]Barème!$B$25</definedName>
    <definedName name="noel_couple_4pers">[1]Barème!$B$27</definedName>
    <definedName name="noel_isole_4pers">[1]Barème!$B$26</definedName>
    <definedName name="noel_pers_sup">[1]Barème!$B$28</definedName>
    <definedName name="p1_modulation_af">[1]Barème!$B$37</definedName>
    <definedName name="p2_modulation_af">[1]Barème!$B$38</definedName>
    <definedName name="part_smic_exo">[1]Barème!$B$249</definedName>
    <definedName name="pente_rsa">[1]Barème!$B$30</definedName>
    <definedName name="pers_sup_CF">[1]Barème!$B$84</definedName>
    <definedName name="pers_sup_CF_majo">[1]Barème!$B$89</definedName>
    <definedName name="plaf_ars">[1]Barème!$B$76</definedName>
    <definedName name="plaf_ars_enf">[1]Barème!$B$77</definedName>
    <definedName name="plaf_cmuc_1pac">[1]Barème!$B$116</definedName>
    <definedName name="plaf_cmuc_34pac">[1]Barème!$B$117</definedName>
    <definedName name="plaf_cmuc_5pluspac">[1]Barème!$B$118</definedName>
    <definedName name="plaf_cmuc_base">[1]Barème!$B$115</definedName>
    <definedName name="plaf_ppe_couple">[1]Barème!$B$187</definedName>
    <definedName name="plaf_ppe_seul">[1]Barème!$B$186</definedName>
    <definedName name="plaf_ppe_suppl_enf">[1]Barème!$B$188</definedName>
    <definedName name="plaf_simple_paje">[1]Barème!$B$108</definedName>
    <definedName name="plaf_simple_paje_plein">[1]Barème!$B$102</definedName>
    <definedName name="plaf_th_1demipart">[1]Barème!$B$270</definedName>
    <definedName name="plaf_th_base">[1]Barème!$B$269</definedName>
    <definedName name="plaf_th_demipartsup">[1]Barème!$B$271</definedName>
    <definedName name="plafond_exo_fillon">[1]Barème!$B$246</definedName>
    <definedName name="plafond_ir_t1">[1]Barème!$B$163</definedName>
    <definedName name="plafond_ir_t2">[1]Barème!$B$165</definedName>
    <definedName name="plafond_ir_t3">[1]Barème!$B$167</definedName>
    <definedName name="plafond_ir_t4">[1]Barème!$B$169</definedName>
    <definedName name="plafond_maj_CF">[1]Barème!$B$83</definedName>
    <definedName name="plafond_maj_CF_majo">[1]Barème!$B$88</definedName>
    <definedName name="plafond_majore_paje">[1]Barème!$B$109</definedName>
    <definedName name="plafond_majore_paje_plein">[1]Barème!$B$103</definedName>
    <definedName name="plafond_qf">[1]Barème!$B$175</definedName>
    <definedName name="plafond_simple_CF">[1]Barème!$B$82</definedName>
    <definedName name="plafond_simple_CF_majo">[1]Barème!$B$87</definedName>
    <definedName name="plafond_ss">[1]Barème!$B$208</definedName>
    <definedName name="plafond_sup_enf_12_paje">[1]Barème!$B$110</definedName>
    <definedName name="plafond_sup_enf_12_paje_plein">[1]Barème!$B$104</definedName>
    <definedName name="plafond_sup_enf_3_paje">[1]Barème!$B$111</definedName>
    <definedName name="plafond_sup_enf_3_paje_plein">[1]Barème!$B$105</definedName>
    <definedName name="rap_salnet_are">[1]Barème!$B$255</definedName>
    <definedName name="rbg" localSheetId="9">#REF!</definedName>
    <definedName name="rbg" localSheetId="10">#REF!</definedName>
    <definedName name="rbg">#REF!</definedName>
    <definedName name="rfr" localSheetId="9">#REF!</definedName>
    <definedName name="rfr">#REF!</definedName>
    <definedName name="seuil_D1">[1]Barème!$B$301</definedName>
    <definedName name="seuil_D2">[1]Barème!$B$302</definedName>
    <definedName name="seuil_D3">[1]Barème!$B$303</definedName>
    <definedName name="seuil_D4">[1]Barème!$B$304</definedName>
    <definedName name="seuil_D5">[1]Barème!$B$305</definedName>
    <definedName name="seuil_D6">[1]Barème!$B$306</definedName>
    <definedName name="seuil_D7">[1]Barème!$B$307</definedName>
    <definedName name="seuil_D8">[1]Barème!$B$308</definedName>
    <definedName name="seuil_D9">[1]Barème!$B$309</definedName>
    <definedName name="seuil_exo_csg">[1]Barème!$B$259</definedName>
    <definedName name="seuil_exo_csg_sup_partQF">[1]Barème!$B$260</definedName>
    <definedName name="seuil_exoARE_cot_ret">[1]Barème!$B$257</definedName>
    <definedName name="seuil_exoARE_csg">[1]Barème!$B$258</definedName>
    <definedName name="seuil_recouvrement_IR">[1]Barème!$B$181</definedName>
    <definedName name="seuil_recouvrement_IR_apres_credits">[1]Barème!$B$182</definedName>
    <definedName name="seuil_tx_red_csg">[1]Barème!$B$261</definedName>
    <definedName name="seuil_tx_red_csg_sup_partQF">[1]Barème!$B$262</definedName>
    <definedName name="seuil_versement_AL">[1]Barème!$B$69</definedName>
    <definedName name="seuil_versement_rsa">[1]Barème!$B$31</definedName>
    <definedName name="smic_b">[1]Barème!$B$283</definedName>
    <definedName name="smic_n">[1]Barème!$B$282</definedName>
    <definedName name="sommet_ppe">[1]Barème!$B$191</definedName>
    <definedName name="sup_enf_modulation_af">[1]Barème!$B$39</definedName>
    <definedName name="taux_are_comp">[1]Barème!$B$251</definedName>
    <definedName name="taux_are_deduc">[1]Barème!$B$253</definedName>
    <definedName name="taux_are_red">[1]Barème!$B$252</definedName>
    <definedName name="taux_are_ret">[1]Barème!$B$254</definedName>
    <definedName name="taux_cs_emp_t1">[1]Barème!$B$240</definedName>
    <definedName name="taux_cs_emp_t2">[1]Barème!$B$241</definedName>
    <definedName name="taux_cs_emp_t3">[1]Barème!$B$242</definedName>
    <definedName name="taux_cs_emp_t4">[1]Barème!$B$243</definedName>
    <definedName name="taux_cs_sal_t1">[1]Barème!$B$225</definedName>
    <definedName name="taux_cs_sal_t2">[1]Barème!$B$226</definedName>
    <definedName name="taux_cs_sal_t3">[1]Barème!$B$227</definedName>
    <definedName name="taux_cs_sal_t4">[1]Barème!$B$228</definedName>
    <definedName name="taux_csg_deduc_t1">[1]Barème!$B$216</definedName>
    <definedName name="taux_csg_deduc_t2">[1]Barème!$B$217</definedName>
    <definedName name="taux_csgcrds_nondeduc_t1">[1]Barème!$B$214</definedName>
    <definedName name="taux_csgcrds_nondeduc_t2">[1]Barème!$B$215</definedName>
    <definedName name="taux_ir_t1">[1]Barème!$B$162</definedName>
    <definedName name="taux_ir_t2">[1]Barème!$B$164</definedName>
    <definedName name="taux_ir_t3">[1]Barème!$B$166</definedName>
    <definedName name="taux_ir_t4">[1]Barème!$B$168</definedName>
    <definedName name="taux_ir_t5">[1]Barème!$B$170</definedName>
    <definedName name="taux_PO">[1]Barème!$B$49</definedName>
    <definedName name="tx_crds">[1]Barème!$B$213</definedName>
    <definedName name="tx_degrevement_th">[1]Barème!$B$275</definedName>
    <definedName name="tx_exo_fillon_smic">[1]Barème!$B$245</definedName>
    <definedName name="tx_majo_plafond_acs">[1]Barème!$B$119</definedName>
    <definedName name="tx_majo_rsa_enf12">[1]Barème!$B$12</definedName>
    <definedName name="tx_majo_rsa_enf3">[1]Barème!$B$13</definedName>
    <definedName name="tx_majo_rsa_majo_enf12">[1]Barème!$B$16</definedName>
    <definedName name="tx_majo_rsa_majo_enf3">[1]Barème!$B$17</definedName>
    <definedName name="tx_majo_rsa_pac1">[1]Barème!$B$11</definedName>
    <definedName name="tx_ppe_apres">[1]Barème!$B$197</definedName>
    <definedName name="tx_ppe_avant">[1]Barème!$B$196</definedName>
    <definedName name="_xlnm.Print_Area" localSheetId="0">'Figure 1'!$A$1:$F$1</definedName>
    <definedName name="_xlnm.Print_Area" localSheetId="1">'Figure 2'!$A$1:$M$37</definedName>
    <definedName name="_xlnm.Print_Area" localSheetId="2">'Figure 3'!$A$1:$H$17</definedName>
    <definedName name="_xlnm.Print_Area" localSheetId="3">'Figure 4'!$A$1:$M$2</definedName>
    <definedName name="_xlnm.Print_Area" localSheetId="4">'Figure 5'!$A$1:$L$1</definedName>
    <definedName name="_xlnm.Print_Area" localSheetId="5">'Figure 6'!$A$1:$G$1</definedName>
    <definedName name="_xlnm.Print_Area" localSheetId="6">'Figure 7'!$A$1:$I$1</definedName>
    <definedName name="_xlnm.Print_Area" localSheetId="7">'Figure 8'!$A$1:$G$24</definedName>
    <definedName name="_xlnm.Print_Area" localSheetId="8">'Figure 9'!$A$1:$E$1</definedName>
    <definedName name="_xlnm.Print_Area" localSheetId="9">'Figure complémentaire 1'!$A$1:$M$33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5" i="11" l="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M4" i="22" l="1"/>
  <c r="L4" i="22"/>
  <c r="K4" i="22"/>
  <c r="J4" i="22"/>
  <c r="I4" i="22"/>
  <c r="H4" i="22"/>
  <c r="G4" i="22"/>
  <c r="F4" i="22"/>
  <c r="E4" i="22"/>
  <c r="D4" i="22"/>
  <c r="D4" i="21" l="1"/>
  <c r="E4" i="21"/>
  <c r="F4" i="21"/>
  <c r="G4" i="21"/>
  <c r="H4" i="21"/>
  <c r="I4" i="21"/>
  <c r="J4" i="21"/>
  <c r="K4" i="21"/>
  <c r="L4" i="21"/>
  <c r="M4" i="21"/>
</calcChain>
</file>

<file path=xl/sharedStrings.xml><?xml version="1.0" encoding="utf-8"?>
<sst xmlns="http://schemas.openxmlformats.org/spreadsheetml/2006/main" count="322" uniqueCount="223">
  <si>
    <t>Cotisations sociales</t>
  </si>
  <si>
    <t>Prestations et allocations monétaires</t>
  </si>
  <si>
    <t>Retraites</t>
  </si>
  <si>
    <t>Prestations sociales monétaires</t>
  </si>
  <si>
    <t>Chômage et revenus de remplacement</t>
  </si>
  <si>
    <t>Impôts sur les revenus et le patrimoine</t>
  </si>
  <si>
    <t>Taxes sur la production</t>
  </si>
  <si>
    <t>Ensemble</t>
  </si>
  <si>
    <t>Taxes sur la production et la consommation</t>
  </si>
  <si>
    <t>Transferts en espèces</t>
  </si>
  <si>
    <t>Transferts en nature</t>
  </si>
  <si>
    <t>dont cotisations retraites</t>
  </si>
  <si>
    <t>Autres transferts</t>
  </si>
  <si>
    <t>Taxes sur les produits et la production</t>
  </si>
  <si>
    <t>Impôt sur les sociétés</t>
  </si>
  <si>
    <t>Palma T10/B40</t>
  </si>
  <si>
    <t>Niveau de vie élargi</t>
  </si>
  <si>
    <t>Revenu avant transferts</t>
  </si>
  <si>
    <t>Niveau</t>
  </si>
  <si>
    <t>Source : Comptes nationaux distribués 2018 ; calcul des auteurs</t>
  </si>
  <si>
    <t>Source : Comptes nationaux distribués 2018 ; calcul des auteurs.</t>
  </si>
  <si>
    <t>Transferts en nature individualisables</t>
  </si>
  <si>
    <t>Dépenses collectives</t>
  </si>
  <si>
    <t>en euros par UC</t>
  </si>
  <si>
    <t>Niveau de vie élargi (euros par UC)</t>
  </si>
  <si>
    <t>Revenu disponible (après transferts)</t>
  </si>
  <si>
    <t>en milliards</t>
  </si>
  <si>
    <t>Revenus primaires élargis</t>
  </si>
  <si>
    <t>Transferts par dixième de population, par UC</t>
  </si>
  <si>
    <t>Transferts reçus en espèces hors retraites</t>
  </si>
  <si>
    <t>Impôts sur le revenu et le patrimoine</t>
  </si>
  <si>
    <t>Prélèvements sur la production et la consommation</t>
  </si>
  <si>
    <t>Redistribution élargie moyenne (solde des transferts publics)</t>
  </si>
  <si>
    <r>
      <t>Revenu disponible</t>
    </r>
    <r>
      <rPr>
        <b/>
        <vertAlign val="superscript"/>
        <sz val="10"/>
        <color rgb="FF00000A"/>
        <rFont val="Arial"/>
        <family val="2"/>
      </rPr>
      <t>1</t>
    </r>
  </si>
  <si>
    <r>
      <t>Taxes sur les produits et la production</t>
    </r>
    <r>
      <rPr>
        <vertAlign val="superscript"/>
        <sz val="10"/>
        <color rgb="FF00000A"/>
        <rFont val="Arial"/>
        <family val="2"/>
      </rPr>
      <t>2</t>
    </r>
  </si>
  <si>
    <r>
      <t>Impôts sur les revenus et le patrimoine</t>
    </r>
    <r>
      <rPr>
        <vertAlign val="superscript"/>
        <sz val="10"/>
        <color rgb="FF00000A"/>
        <rFont val="Arial"/>
        <family val="2"/>
      </rPr>
      <t>2</t>
    </r>
  </si>
  <si>
    <r>
      <t>Transferts monétaires</t>
    </r>
    <r>
      <rPr>
        <vertAlign val="superscript"/>
        <sz val="10"/>
        <color rgb="FF00000A"/>
        <rFont val="Arial"/>
        <family val="2"/>
      </rPr>
      <t>2</t>
    </r>
  </si>
  <si>
    <r>
      <t>Transferts en nature</t>
    </r>
    <r>
      <rPr>
        <vertAlign val="superscript"/>
        <sz val="10"/>
        <color rgb="FF00000A"/>
        <rFont val="Arial"/>
        <family val="2"/>
      </rPr>
      <t>2</t>
    </r>
  </si>
  <si>
    <t>Lecture : en 2018, les prestations en espèces représentent 21 % du revenu national brut.</t>
  </si>
  <si>
    <t>Source : Insee, Comptes nationaux ; calcul des auteurs.</t>
  </si>
  <si>
    <t>Ensemble hors retraites</t>
  </si>
  <si>
    <t xml:space="preserve">Note : les indices de Gini sont calculés à partir des montants agrégés par dixième. Cette approximation se justifie par les propriétés linéaires de l’indicateur sur des variables continues. Aucun reclassement n'est réalisé selon les lignes du tableau, les dixièmes de population sont calculés à partir du revenu disponible par unité de consommation.  </t>
  </si>
  <si>
    <t>Revenu national net avant transferts (RNNAV)</t>
  </si>
  <si>
    <t>Revenu national net après transferts (RNNAP)</t>
  </si>
  <si>
    <t xml:space="preserve">2. Les lignes résiduelles "dont autres" ne sont pas affichées    </t>
  </si>
  <si>
    <t>dont : santé</t>
  </si>
  <si>
    <t>enseignement</t>
  </si>
  <si>
    <t>action sociale et logement</t>
  </si>
  <si>
    <t>dont : retraites</t>
  </si>
  <si>
    <t>dont : cotisations retraites</t>
  </si>
  <si>
    <t xml:space="preserve">dont : CSG </t>
  </si>
  <si>
    <t>dont : taxes sur la production</t>
  </si>
  <si>
    <t>dont : revenus salariaux bruts</t>
  </si>
  <si>
    <t>taxes sur la consommation</t>
  </si>
  <si>
    <t>chômage et revenus de remplacement</t>
  </si>
  <si>
    <t>Primaire et secondaire</t>
  </si>
  <si>
    <t>Maternelle et élémentaire</t>
  </si>
  <si>
    <t>Collège</t>
  </si>
  <si>
    <t>Lycée général et technologique</t>
  </si>
  <si>
    <t>Lycée professionnel</t>
  </si>
  <si>
    <t>Autres transferts sociaux en espèces</t>
  </si>
  <si>
    <t>famille et pauvreté</t>
  </si>
  <si>
    <t>Champ : France.</t>
  </si>
  <si>
    <r>
      <t xml:space="preserve">2. Les lignes résiduelles </t>
    </r>
    <r>
      <rPr>
        <sz val="10"/>
        <color theme="1"/>
        <rFont val="Calibri"/>
        <family val="2"/>
      </rPr>
      <t>«</t>
    </r>
    <r>
      <rPr>
        <sz val="10"/>
        <color theme="1"/>
        <rFont val="Arial"/>
        <family val="2"/>
      </rPr>
      <t xml:space="preserve"> dont autres </t>
    </r>
    <r>
      <rPr>
        <sz val="10"/>
        <color theme="1"/>
        <rFont val="Calibri"/>
        <family val="2"/>
      </rPr>
      <t>»</t>
    </r>
    <r>
      <rPr>
        <sz val="10"/>
        <color theme="1"/>
        <rFont val="Arial"/>
        <family val="2"/>
      </rPr>
      <t xml:space="preserve"> ne sont pas affichées. </t>
    </r>
  </si>
  <si>
    <t>Total</t>
  </si>
  <si>
    <t>D1 à D2</t>
  </si>
  <si>
    <t>D2 à D3</t>
  </si>
  <si>
    <t>D3 à D4</t>
  </si>
  <si>
    <t>D4 à D5</t>
  </si>
  <si>
    <t>D5 à D6</t>
  </si>
  <si>
    <t>D6 à D7</t>
  </si>
  <si>
    <t>D7 à D8</t>
  </si>
  <si>
    <t>D8 à D9</t>
  </si>
  <si>
    <t>Supérieur à D9</t>
  </si>
  <si>
    <t>Revenu national net après transferts par UC</t>
  </si>
  <si>
    <t>Aisés 
(10%  des individus)</t>
  </si>
  <si>
    <r>
      <t>Revenu disponible</t>
    </r>
    <r>
      <rPr>
        <b/>
        <vertAlign val="superscript"/>
        <sz val="10"/>
        <color rgb="FF00000A"/>
        <rFont val="Arial"/>
        <family val="2"/>
      </rPr>
      <t>1</t>
    </r>
    <r>
      <rPr>
        <b/>
        <sz val="10"/>
        <color rgb="FF00000A"/>
        <rFont val="Arial"/>
        <family val="2"/>
      </rPr>
      <t xml:space="preserve"> (usuel)</t>
    </r>
  </si>
  <si>
    <t>Transferts par dixième de population (en % du montant du transfert)</t>
  </si>
  <si>
    <t>Contribution à la réduction en %</t>
  </si>
  <si>
    <t>Revenu avant redistribution usuelle</t>
  </si>
  <si>
    <t>Contribution à la réduction en niveau</t>
  </si>
  <si>
    <r>
      <t xml:space="preserve">Prestations en </t>
    </r>
    <r>
      <rPr>
        <sz val="10"/>
        <color rgb="FF00000A"/>
        <rFont val="Arial"/>
        <family val="2"/>
      </rPr>
      <t>espèces</t>
    </r>
  </si>
  <si>
    <r>
      <t>Champ : France</t>
    </r>
    <r>
      <rPr>
        <sz val="10"/>
        <color rgb="FF00000A"/>
        <rFont val="Arial"/>
        <family val="2"/>
      </rPr>
      <t>.</t>
    </r>
  </si>
  <si>
    <t>impôts sur les revenus</t>
  </si>
  <si>
    <t>impôts sur les sociétés</t>
  </si>
  <si>
    <t xml:space="preserve">Transferts nets (en % du revenu avant transferts) </t>
  </si>
  <si>
    <t>Transferts nets (en % du revenu national)</t>
  </si>
  <si>
    <t>Supérieur (STS, CPGE et université)</t>
  </si>
  <si>
    <t>Ensemble (en milliards d'euros)</t>
  </si>
  <si>
    <t>Note : les territoires non colorés n'ont pas de services publics locaux non individualisables tels que définis ici.</t>
  </si>
  <si>
    <t>Lecture : les territoires les plus foncés sont mieux dotés de services publics locaux non individualisables (police, collectivités locales, équipements, etc.).</t>
  </si>
  <si>
    <t>1. Bénéficiaires en moyenne à l'intérieur d'un dixième de population. Il peut cependant exister des perdants parmi cette catégorie de ménages.</t>
  </si>
  <si>
    <t>2. Revenu disponible calculé à partir des comptes nationaux distribués. Il est différent du revenu disponible diffusé usuellement par l'Insee. Ce dernier contient notamment les allocations logement alors qu'elles ne sont pas comprises ici.</t>
  </si>
  <si>
    <t xml:space="preserve">en % du revenu national net </t>
  </si>
  <si>
    <t>Ratio (100-S80)/S20</t>
  </si>
  <si>
    <t>Revenu primaire après prélèvements</t>
  </si>
  <si>
    <t>2. Y compris épargne des administrations publiques nette de consommation de capital fixe (CCF).</t>
  </si>
  <si>
    <r>
      <t>Transferts reçus en nature et dépenses collectives</t>
    </r>
    <r>
      <rPr>
        <vertAlign val="superscript"/>
        <sz val="10"/>
        <color theme="1"/>
        <rFont val="Arial"/>
        <family val="2"/>
      </rPr>
      <t>1</t>
    </r>
  </si>
  <si>
    <t>1. Hors épargne nette et ajustements des autres comptes</t>
  </si>
  <si>
    <t>Pauvres  
(15 % des individus)</t>
  </si>
  <si>
    <t>Modestes
(27%  des individus)</t>
  </si>
  <si>
    <t>Médians
(25%  des individus)</t>
  </si>
  <si>
    <t>Plutôt aisés
(23%  des individus)</t>
  </si>
  <si>
    <r>
      <t>1. Y compris</t>
    </r>
    <r>
      <rPr>
        <sz val="10"/>
        <rFont val="Arial"/>
        <family val="2"/>
      </rPr>
      <t xml:space="preserve"> PND</t>
    </r>
    <r>
      <rPr>
        <sz val="10"/>
        <color rgb="FF00000A"/>
        <rFont val="Arial"/>
        <family val="2"/>
      </rPr>
      <t xml:space="preserve"> </t>
    </r>
    <r>
      <rPr>
        <i/>
        <sz val="10"/>
        <color rgb="FF00000A"/>
        <rFont val="Arial"/>
        <family val="2"/>
      </rPr>
      <t>(voir encadré 3).</t>
    </r>
  </si>
  <si>
    <t>Lecture : les 10% les plus modestes (niveau de vie usuel inférieur au 1er décile) perçoivent 1,4 % des 774 milliards d'euros de revenus salariaux bruts  reçus en France (soit 16 721 euros par UC). Ils ont un revenu avant transferts moyen de 10 477 euros par UC et un niveau de vie élargi (après transferts) de 28 369 euros.</t>
  </si>
  <si>
    <t>Note : les transferts sont rapportés au revenu national brut (RNB) et non au revenu national net (RNN), car la série depuis 1949 n'est disponible que pour le RNB.</t>
  </si>
  <si>
    <t>1. Dans cette variante, les dépenses nationales sont distribuées proportionnellement au revenu élargi hors dépenses collectives.</t>
  </si>
  <si>
    <t>Indice de Gini</t>
  </si>
  <si>
    <t>en % du RNN</t>
  </si>
  <si>
    <t>en Mds €</t>
  </si>
  <si>
    <t>Revenus salariaux bruts (1)</t>
  </si>
  <si>
    <t>dont salaires nets</t>
  </si>
  <si>
    <t>Revenus mixtes nets et du patrimoine (2)</t>
  </si>
  <si>
    <t>Revenus des entreprises et ISBSLM bruts d'impôts (3)</t>
  </si>
  <si>
    <t xml:space="preserve">Revenu des facteurs (= 1+2+3) </t>
  </si>
  <si>
    <t>Revenu primaire des APU (4)</t>
  </si>
  <si>
    <t>RNN avant transferts y compris revenus différés</t>
  </si>
  <si>
    <t>Prélèvements sur la production et la consommation (5)</t>
  </si>
  <si>
    <t>Impôt sur le revenu et le patrimoine (6)</t>
  </si>
  <si>
    <t>Cotisations sociales (7)</t>
  </si>
  <si>
    <t>Prestations et allocations monétaires  (8)</t>
  </si>
  <si>
    <t>Autres transferts (9)</t>
  </si>
  <si>
    <t>dont autres transferts courants</t>
  </si>
  <si>
    <t>Transferts sociaux en nature individualisables (10)</t>
  </si>
  <si>
    <t>autres dont activités culturelles et associatives</t>
  </si>
  <si>
    <t>Dépenses collectives brutes de CCF (11)</t>
  </si>
  <si>
    <t>Revenus disponibles ajustés nets des autres comptes (12)</t>
  </si>
  <si>
    <t>Épargne des administrations publiques (13)</t>
  </si>
  <si>
    <t>dont épargne APU nette de CCF</t>
  </si>
  <si>
    <t>Lecture : les 10% les plus modestes (niveau de vie usuel inférieur au 1er décile) perçoivent 21,5 milliards d'euros de revenus salariaux bruts sur les 1 253 milliards d'euros de revenus salariaux bruts reçus en France .</t>
  </si>
  <si>
    <t>Transferts par dixième de population (en Mds €)</t>
  </si>
  <si>
    <t>Revenus de la propriété et intérêts versés</t>
  </si>
  <si>
    <t>Revenus de la propriété et intérêts reçus par les APU</t>
  </si>
  <si>
    <r>
      <t>2. Y compris</t>
    </r>
    <r>
      <rPr>
        <sz val="10"/>
        <rFont val="Arial"/>
        <family val="2"/>
      </rPr>
      <t xml:space="preserve"> PND</t>
    </r>
    <r>
      <rPr>
        <sz val="10"/>
        <color rgb="FF00000A"/>
        <rFont val="Arial"/>
        <family val="2"/>
      </rPr>
      <t xml:space="preserve"> </t>
    </r>
    <r>
      <rPr>
        <i/>
        <sz val="10"/>
        <color rgb="FF00000A"/>
        <rFont val="Arial"/>
        <family val="2"/>
      </rPr>
      <t>(voir encadré 3).</t>
    </r>
  </si>
  <si>
    <t>1. Nommé aussi "Revenus primaires élargis" dans le dossier.</t>
  </si>
  <si>
    <t>en euros par unité de consommation</t>
  </si>
  <si>
    <t>Taxes sur les produits</t>
  </si>
  <si>
    <t>EPCI</t>
  </si>
  <si>
    <t xml:space="preserve">Figure 1 - Transferts publics depuis 1949 en part du revenu national brut </t>
  </si>
  <si>
    <t>en % du revenu national brut</t>
  </si>
  <si>
    <r>
      <t>Taxes sur les produits et la production</t>
    </r>
    <r>
      <rPr>
        <b/>
        <vertAlign val="superscript"/>
        <sz val="10"/>
        <rFont val="Arial"/>
        <family val="2"/>
      </rPr>
      <t>2</t>
    </r>
  </si>
  <si>
    <r>
      <t>Impôts sur les revenus et le patrimoine</t>
    </r>
    <r>
      <rPr>
        <b/>
        <vertAlign val="superscript"/>
        <sz val="10"/>
        <rFont val="Arial"/>
        <family val="2"/>
      </rPr>
      <t>2</t>
    </r>
  </si>
  <si>
    <r>
      <t>Transferts monétaires</t>
    </r>
    <r>
      <rPr>
        <b/>
        <vertAlign val="superscript"/>
        <sz val="10"/>
        <rFont val="Arial"/>
        <family val="2"/>
      </rPr>
      <t>2</t>
    </r>
  </si>
  <si>
    <r>
      <t>Transferts en nature</t>
    </r>
    <r>
      <rPr>
        <b/>
        <vertAlign val="superscript"/>
        <sz val="10"/>
        <rFont val="Arial"/>
        <family val="2"/>
      </rPr>
      <t>2</t>
    </r>
  </si>
  <si>
    <t>Figure 4 - Dépenses d'éducation par dixième de niveau de vie usuel</t>
  </si>
  <si>
    <r>
      <rPr>
        <sz val="10"/>
        <rFont val="Calibri"/>
        <family val="2"/>
      </rPr>
      <t>É</t>
    </r>
    <r>
      <rPr>
        <sz val="10"/>
        <rFont val="Arial"/>
        <family val="2"/>
      </rPr>
      <t>tudiant cohabitant</t>
    </r>
  </si>
  <si>
    <r>
      <rPr>
        <sz val="10"/>
        <rFont val="Calibri"/>
        <family val="2"/>
      </rPr>
      <t>É</t>
    </r>
    <r>
      <rPr>
        <sz val="10"/>
        <rFont val="Arial"/>
        <family val="2"/>
      </rPr>
      <t>tudiant non cohabitant</t>
    </r>
  </si>
  <si>
    <r>
      <t>Lecture : sur une dépense d’éducation de 22,1 milliards d’euros dans le supérieur en 2018, 16,1 % sont versés aux ménages appartenant aux 10 % les plus modestes (niveau de vie usuel inférieur au 1</t>
    </r>
    <r>
      <rPr>
        <vertAlign val="superscript"/>
        <sz val="10"/>
        <rFont val="Arial"/>
        <family val="2"/>
      </rPr>
      <t>er</t>
    </r>
    <r>
      <rPr>
        <sz val="10"/>
        <rFont val="Arial"/>
        <family val="2"/>
      </rPr>
      <t xml:space="preserve"> décile). Dans le supérieur, 19,4 milliards d’euros sont distribués aux étudiants cohabitants chez leurs parents, dont 16,8% aux 10 % les plus modestes.</t>
    </r>
  </si>
  <si>
    <t>Figure 5 - Services publics collectifs locaux par établissement public de coopération
intercommunale (EPCI)</t>
  </si>
  <si>
    <t>Figure 6 - Prélèvements par dixième de niveau de vie usuel, en part du revenu avant transferts</t>
  </si>
  <si>
    <t>Inférieur à D1</t>
  </si>
  <si>
    <t>Figure 7 - Distribution du revenu national avant et après transferts, selon le niveau de vie usuel</t>
  </si>
  <si>
    <t>Revenu national net avant transferts par UC</t>
  </si>
  <si>
    <t>en % du revenu avant transferts</t>
  </si>
  <si>
    <t>Figure 8 - Décomposition de la contribution à la réduction des inégalités avant et après transferts</t>
  </si>
  <si>
    <r>
      <t>Revenu disponible</t>
    </r>
    <r>
      <rPr>
        <b/>
        <vertAlign val="superscript"/>
        <sz val="10"/>
        <rFont val="Arial"/>
        <family val="2"/>
      </rPr>
      <t>1</t>
    </r>
    <r>
      <rPr>
        <b/>
        <sz val="10"/>
        <rFont val="Arial"/>
        <family val="2"/>
      </rPr>
      <t xml:space="preserve"> </t>
    </r>
  </si>
  <si>
    <r>
      <t>Dépenses collectives</t>
    </r>
    <r>
      <rPr>
        <vertAlign val="superscript"/>
        <sz val="10"/>
        <rFont val="Arial"/>
        <family val="2"/>
      </rPr>
      <t>2</t>
    </r>
  </si>
  <si>
    <t>Figure 9 - Décomposition de la redistribution élargie par catégorie de ménages</t>
  </si>
  <si>
    <t>Figure complémentaire 2 -  Comptes nationaux distribués pour la France en 2018 par dixième de niveau de vie usuel</t>
  </si>
  <si>
    <t>en milliard d'euros (Mds)</t>
  </si>
  <si>
    <r>
      <t>Revenu disponible net</t>
    </r>
    <r>
      <rPr>
        <b/>
        <vertAlign val="superscript"/>
        <sz val="10"/>
        <rFont val="Arial"/>
        <family val="2"/>
      </rPr>
      <t>2</t>
    </r>
    <r>
      <rPr>
        <b/>
        <sz val="10"/>
        <rFont val="Arial"/>
        <family val="2"/>
      </rPr>
      <t xml:space="preserve"> (B= A+5+6+7+8+9)</t>
    </r>
  </si>
  <si>
    <r>
      <t>Revenu disponible net ajusté</t>
    </r>
    <r>
      <rPr>
        <b/>
        <vertAlign val="superscript"/>
        <sz val="10"/>
        <color theme="1"/>
        <rFont val="Arial"/>
        <family val="2"/>
      </rPr>
      <t>2</t>
    </r>
    <r>
      <rPr>
        <b/>
        <sz val="10"/>
        <color theme="1"/>
        <rFont val="Arial"/>
        <family val="2"/>
      </rPr>
      <t xml:space="preserve"> (C= B+10)</t>
    </r>
  </si>
  <si>
    <t>Figure complémentaire 1 -  Comptes nationaux distribués pour la France en 2018 par dixième de niveau de vie usuel, par UC</t>
  </si>
  <si>
    <t>Consommation collective</t>
  </si>
  <si>
    <r>
      <t>1. Y compris profits non distribués (</t>
    </r>
    <r>
      <rPr>
        <i/>
        <sz val="10"/>
        <rFont val="Arial"/>
        <family val="2"/>
      </rPr>
      <t>encadré 3</t>
    </r>
    <r>
      <rPr>
        <sz val="10"/>
        <rFont val="Arial"/>
        <family val="2"/>
      </rPr>
      <t>).</t>
    </r>
  </si>
  <si>
    <r>
      <t>revenus du patrimoine et mixtes</t>
    </r>
    <r>
      <rPr>
        <i/>
        <vertAlign val="superscript"/>
        <sz val="10"/>
        <color rgb="FF00000A"/>
        <rFont val="Arial"/>
        <family val="2"/>
      </rPr>
      <t>1</t>
    </r>
  </si>
  <si>
    <r>
      <t>Dépenses collectives avec variante dépenses nationales proportionnelles</t>
    </r>
    <r>
      <rPr>
        <vertAlign val="superscript"/>
        <sz val="10"/>
        <color theme="1"/>
        <rFont val="Arial"/>
        <family val="2"/>
      </rPr>
      <t>1</t>
    </r>
  </si>
  <si>
    <t>Dépenses collectives avec autre hypothèse (dépense national en fonction du revenu disponible)</t>
  </si>
  <si>
    <t>Transferts par dixième de population (en % du montant de la filière)</t>
  </si>
  <si>
    <r>
      <t>1. Y compris profit non distribués</t>
    </r>
    <r>
      <rPr>
        <i/>
        <sz val="10"/>
        <rFont val="Arial"/>
        <family val="2"/>
      </rPr>
      <t xml:space="preserve"> (encadré 3).</t>
    </r>
  </si>
  <si>
    <t>Lecture : l'indice de Gini des impôts sur les revenus et le patrimoine est de 0,59, supérieur de 0,21 à celui du revenu avant transferts, ce qui indique que ce transfert est progressif. Il contribue à réduire les inégalités à hauteur de 0,03 (égal à 0,21 multiplié par le poids de ces impôts, 15,5%). Cela correspond à une contribution de 15,4% à la baisse de 0,21 de l'indice de Gini liée à la redistribution.</t>
  </si>
  <si>
    <t>le niveau de vie élargi n'est pas égal à la somme des revenus primaires élargis et des transferts indiqués dans ce tableau du fait de transferts résiduels (notamment l'épargne nette des admistrations publiques). Ces transferts sont disponibles en données complémentaires sur insee.fr.</t>
  </si>
  <si>
    <t>Figure 3 - Transferts moyens reçus par les ménages selon leur niveau de vie usuel</t>
  </si>
  <si>
    <t>Source : Insee, DADS et ERFS 2017 ; calcul des auteurs.</t>
  </si>
  <si>
    <t>Note : les montants par UC par dixième de niveau de vie sont disponibiles en données complémentaires sur insee.fr ;</t>
  </si>
  <si>
    <r>
      <t>Lecture : les 10 % les plus modestes (niveau de vie usuel inférieur au 1</t>
    </r>
    <r>
      <rPr>
        <vertAlign val="superscript"/>
        <sz val="10"/>
        <rFont val="Arial"/>
        <family val="2"/>
      </rPr>
      <t>er</t>
    </r>
    <r>
      <rPr>
        <sz val="10"/>
        <rFont val="Arial"/>
        <family val="2"/>
      </rPr>
      <t xml:space="preserve"> décile) contribuent en moyenne à hauteur de 29 % de leur revenu avant transferts au titre des taxes sur les produits et de 22 % au titre des cotisations sociales.</t>
    </r>
  </si>
  <si>
    <r>
      <t>Lecture : le revenu primaire élargi (avant transferts) des 10 % les plus aisés (niveau de vie usuel supérieur au 9e décile) s’élève à 133 080 euros par unité de consommation (UC) contre 10 480 euros par UC pour les 10 % les plus modestes (inférieur au 1</t>
    </r>
    <r>
      <rPr>
        <vertAlign val="superscript"/>
        <sz val="10"/>
        <rFont val="Arial"/>
        <family val="2"/>
      </rPr>
      <t xml:space="preserve">er </t>
    </r>
    <r>
      <rPr>
        <sz val="10"/>
        <rFont val="Arial"/>
        <family val="2"/>
      </rPr>
      <t>décile). Le niveau de vie élargi (après transferts) est égal à 87 030 euros en moyenne pour les 10 % les plus aisés contre 28 370 euros pour les plus modestes. Les personnes appartenant aux 10% les plus modestes sont en moyenne bénéficiaires de la redistribution (même s'il peut exister des perdants parmi cette catégorie de ménages).</t>
    </r>
  </si>
  <si>
    <t>dont : revenus salariaux</t>
  </si>
  <si>
    <t>impôt sur le revenu</t>
  </si>
  <si>
    <r>
      <t xml:space="preserve">impôt sur les sociétés </t>
    </r>
    <r>
      <rPr>
        <i/>
        <sz val="10"/>
        <color rgb="FF00000A"/>
        <rFont val="Arial"/>
        <family val="2"/>
      </rPr>
      <t/>
    </r>
  </si>
  <si>
    <t>Moyenne (en milliards d'euros)</t>
  </si>
  <si>
    <t>dont : revenus mixtes nets</t>
  </si>
  <si>
    <t>revenus nets de la propriété</t>
  </si>
  <si>
    <t>loyers réels et fictifs nets des charges</t>
  </si>
  <si>
    <t>impôt sur les sociétés</t>
  </si>
  <si>
    <t>autres transferts des entreprises (fraude)</t>
  </si>
  <si>
    <t xml:space="preserve">dont : profits non distribués nets d'impôt sur les sociétés </t>
  </si>
  <si>
    <t>dont : TVA</t>
  </si>
  <si>
    <t>TICPE et accises</t>
  </si>
  <si>
    <t>TFPB et droits d'enregistrement</t>
  </si>
  <si>
    <t>taxes sur les salaires et autres taxes patronales</t>
  </si>
  <si>
    <t>autres taxes</t>
  </si>
  <si>
    <t>dont : CSG</t>
  </si>
  <si>
    <t>taxe d'habitation</t>
  </si>
  <si>
    <t>CRDS, IFI, Redevance</t>
  </si>
  <si>
    <t xml:space="preserve">dont : retraites </t>
  </si>
  <si>
    <t>maladie</t>
  </si>
  <si>
    <t>famille</t>
  </si>
  <si>
    <t>chômage</t>
  </si>
  <si>
    <t>régimes particuliers de protection sociale</t>
  </si>
  <si>
    <t>pauvreté</t>
  </si>
  <si>
    <t>invalidité</t>
  </si>
  <si>
    <t>mutuelles</t>
  </si>
  <si>
    <t>IJ et AT</t>
  </si>
  <si>
    <t xml:space="preserve">action sociale </t>
  </si>
  <si>
    <t>logement</t>
  </si>
  <si>
    <t>dont : administration générale</t>
  </si>
  <si>
    <t>défense, police justice</t>
  </si>
  <si>
    <t>autres (diffusion recherche)</t>
  </si>
  <si>
    <t>dont : revenu disponible ajusté net des ISBLSM</t>
  </si>
  <si>
    <t>équilibre Emplois-Ressources du Reste du monde (dont UE)</t>
  </si>
  <si>
    <r>
      <rPr>
        <sz val="10"/>
        <color rgb="FFFF0000"/>
        <rFont val="Arial"/>
        <family val="2"/>
      </rPr>
      <t>Inférieur à</t>
    </r>
    <r>
      <rPr>
        <sz val="10"/>
        <rFont val="Arial"/>
        <family val="2"/>
      </rPr>
      <t xml:space="preserve"> D1</t>
    </r>
  </si>
  <si>
    <r>
      <t>Lecture : les revenus primaires élargis sont de 1 982,3 milliards d'euros en 2018 en France, ce qui correpond à 42 820 euros par unité de consommation (UC). Les 10 % les plus modestes (niveau de vie usuel inférieur au 1</t>
    </r>
    <r>
      <rPr>
        <vertAlign val="superscript"/>
        <sz val="10"/>
        <rFont val="Arial"/>
        <family val="2"/>
      </rPr>
      <t xml:space="preserve">er </t>
    </r>
    <r>
      <rPr>
        <sz val="10"/>
        <rFont val="Arial"/>
        <family val="2"/>
      </rPr>
      <t>décile) perçoivent 2,4 % des 1 982,3 milliards d'euros de revenus primaires élargis reçus en France.</t>
    </r>
  </si>
  <si>
    <t xml:space="preserve">Dépense collective locale </t>
  </si>
  <si>
    <t>Part dans le revenu national net (en %)</t>
  </si>
  <si>
    <t>Figure 2 - Comptes nationaux distribués pour la France en 2018 par dixième de niveau de vie usuel</t>
  </si>
  <si>
    <r>
      <t>Cotisations sociales</t>
    </r>
    <r>
      <rPr>
        <b/>
        <vertAlign val="superscript"/>
        <sz val="10"/>
        <rFont val="Arial"/>
        <family val="2"/>
      </rPr>
      <t>2</t>
    </r>
  </si>
  <si>
    <t>cotisations maladie</t>
  </si>
  <si>
    <r>
      <t>Cotisations sociales</t>
    </r>
    <r>
      <rPr>
        <vertAlign val="superscript"/>
        <sz val="10"/>
        <color rgb="FF00000A"/>
        <rFont val="Arial"/>
        <family val="2"/>
      </rPr>
      <t>2</t>
    </r>
  </si>
  <si>
    <r>
      <t>Revenu national net avant transferts</t>
    </r>
    <r>
      <rPr>
        <b/>
        <vertAlign val="superscript"/>
        <sz val="10"/>
        <rFont val="Arial"/>
        <family val="2"/>
      </rPr>
      <t>1</t>
    </r>
    <r>
      <rPr>
        <b/>
        <sz val="10"/>
        <rFont val="Arial"/>
        <family val="2"/>
      </rPr>
      <t xml:space="preserve"> (A = 1+2+3+4)</t>
    </r>
  </si>
  <si>
    <r>
      <t>Lecture : les 10 % des individus les plus aisés (niveau de vie usuel supérieur au 9</t>
    </r>
    <r>
      <rPr>
        <vertAlign val="superscript"/>
        <sz val="10"/>
        <rFont val="Arial"/>
        <family val="2"/>
      </rPr>
      <t>e</t>
    </r>
    <r>
      <rPr>
        <sz val="10"/>
        <rFont val="Arial"/>
        <family val="2"/>
      </rPr>
      <t xml:space="preserve"> décile) perçoivent en moyenne 12 670 euros  de pensions de retraites par unité de consommation (UC) et 5 140 euros par UC.</t>
    </r>
  </si>
  <si>
    <t xml:space="preserve">Lecture : le revenu primaire élargi moyen des individus pauvres avant transferts s’élève à 12 170 euros par UC et celui des individus modestes à 21 620 euros par UC, contre 52 150 euros par UC pour les individus plutôt aisés et 134 830 euros par UC pour les individus aisés. En moyenne, les individus médians bénéficient de 21 580 euros par UC de transferts et dépenses collectives et contribuent à hauteur de 20 170 euros par UC au titre des prélèvements. </t>
  </si>
  <si>
    <t>Revenu national net après transferts (D=C+11+12+13)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</si>
</sst>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4" formatCode="_-* #,##0.00\ &quot;€&quot;_-;\-* #,##0.00\ &quot;€&quot;_-;_-* &quot;-&quot;??\ &quot;€&quot;_-;_-@_-"/>
    <numFmt numFmtId="43" formatCode="_-* #,##0.00_-;\-* #,##0.00_-;_-* &quot;-&quot;??_-;_-@_-"/>
    <numFmt numFmtId="164" formatCode="_-* #,##0_-;\-* #,##0_-;_-* &quot;-&quot;??_-;_-@_-"/>
    <numFmt numFmtId="165" formatCode="0.0%"/>
    <numFmt numFmtId="166" formatCode="#,##0.0"/>
    <numFmt numFmtId="167" formatCode="0.0"/>
    <numFmt numFmtId="168" formatCode="_-* #,##0.0_-;\-* #,##0.0_-;_-* &quot;-&quot;??_-;_-@_-"/>
    <numFmt numFmtId="169" formatCode="#,##0_ ;\-#,##0\ "/>
    <numFmt numFmtId="170" formatCode="#,##0.0_ ;\-#,##0.0\ "/>
  </numFmts>
  <fonts count="44"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i/>
      <sz val="11"/>
      <color theme="1"/>
      <name val="Calibri"/>
      <family val="2"/>
      <scheme val="minor"/>
    </font>
    <font>
      <b/>
      <sz val="11"/>
      <name val="Calibri"/>
      <family val="2"/>
      <scheme val="minor"/>
    </font>
    <font>
      <sz val="9"/>
      <color theme="1"/>
      <name val="Calibri"/>
      <family val="2"/>
      <charset val="1"/>
      <scheme val="minor"/>
    </font>
    <font>
      <b/>
      <sz val="11"/>
      <color theme="8"/>
      <name val="Calibri"/>
      <family val="2"/>
      <scheme val="minor"/>
    </font>
    <font>
      <sz val="8"/>
      <color rgb="FF00000A"/>
      <name val="Arial"/>
      <family val="2"/>
    </font>
    <font>
      <sz val="10"/>
      <name val="Arial"/>
      <family val="2"/>
    </font>
    <font>
      <i/>
      <sz val="10"/>
      <name val="Arial"/>
      <family val="2"/>
    </font>
    <font>
      <b/>
      <sz val="10"/>
      <color theme="8"/>
      <name val="Arial"/>
      <family val="2"/>
    </font>
    <font>
      <sz val="10"/>
      <color rgb="FFFF0000"/>
      <name val="Arial"/>
      <family val="2"/>
    </font>
    <font>
      <sz val="11"/>
      <color indexed="8"/>
      <name val="Calibri"/>
      <family val="2"/>
    </font>
    <font>
      <sz val="12"/>
      <color rgb="FF000000"/>
      <name val="Calibri"/>
      <family val="2"/>
      <scheme val="minor"/>
    </font>
    <font>
      <sz val="8"/>
      <color rgb="FF00000A"/>
      <name val="Calibri"/>
      <family val="2"/>
      <scheme val="minor"/>
    </font>
    <font>
      <sz val="8"/>
      <name val="Calibri"/>
      <family val="2"/>
      <scheme val="minor"/>
    </font>
    <font>
      <i/>
      <sz val="9"/>
      <color theme="1"/>
      <name val="Calibri"/>
      <family val="2"/>
      <scheme val="minor"/>
    </font>
    <font>
      <sz val="10"/>
      <color theme="1"/>
      <name val="Arial"/>
      <family val="2"/>
    </font>
    <font>
      <sz val="10"/>
      <color rgb="FF00000A"/>
      <name val="Arial"/>
      <family val="2"/>
    </font>
    <font>
      <i/>
      <sz val="10"/>
      <color rgb="FF00000A"/>
      <name val="Arial"/>
      <family val="2"/>
    </font>
    <font>
      <b/>
      <sz val="10"/>
      <color theme="1"/>
      <name val="Arial"/>
      <family val="2"/>
    </font>
    <font>
      <i/>
      <sz val="10"/>
      <color theme="1"/>
      <name val="Arial"/>
      <family val="2"/>
    </font>
    <font>
      <b/>
      <sz val="10"/>
      <name val="Arial"/>
      <family val="2"/>
    </font>
    <font>
      <b/>
      <sz val="10"/>
      <color rgb="FF00000A"/>
      <name val="Arial"/>
      <family val="2"/>
    </font>
    <font>
      <b/>
      <sz val="10"/>
      <color rgb="FF000000"/>
      <name val="Arial"/>
      <family val="2"/>
    </font>
    <font>
      <i/>
      <sz val="10"/>
      <color rgb="FF000000"/>
      <name val="Arial"/>
      <family val="2"/>
    </font>
    <font>
      <sz val="10"/>
      <color rgb="FF000000"/>
      <name val="Arial"/>
      <family val="2"/>
    </font>
    <font>
      <i/>
      <vertAlign val="superscript"/>
      <sz val="10"/>
      <color rgb="FF00000A"/>
      <name val="Arial"/>
      <family val="2"/>
    </font>
    <font>
      <b/>
      <vertAlign val="superscript"/>
      <sz val="10"/>
      <color rgb="FF00000A"/>
      <name val="Arial"/>
      <family val="2"/>
    </font>
    <font>
      <vertAlign val="superscript"/>
      <sz val="10"/>
      <color rgb="FF00000A"/>
      <name val="Arial"/>
      <family val="2"/>
    </font>
    <font>
      <b/>
      <sz val="12"/>
      <color rgb="FF000000"/>
      <name val="Calibri"/>
      <family val="2"/>
      <scheme val="minor"/>
    </font>
    <font>
      <vertAlign val="superscript"/>
      <sz val="10"/>
      <color theme="1"/>
      <name val="Arial"/>
      <family val="2"/>
    </font>
    <font>
      <sz val="10"/>
      <color theme="1"/>
      <name val="Calibri"/>
      <family val="2"/>
    </font>
    <font>
      <sz val="11"/>
      <name val="Calibri"/>
      <family val="2"/>
      <scheme val="minor"/>
    </font>
    <font>
      <sz val="11"/>
      <color rgb="FF00B0F0"/>
      <name val="Calibri"/>
      <family val="2"/>
      <scheme val="minor"/>
    </font>
    <font>
      <i/>
      <sz val="9"/>
      <name val="Calibri"/>
      <family val="2"/>
      <scheme val="minor"/>
    </font>
    <font>
      <i/>
      <sz val="11"/>
      <name val="Calibri"/>
      <family val="2"/>
      <scheme val="minor"/>
    </font>
    <font>
      <b/>
      <sz val="11"/>
      <color rgb="FFFF0000"/>
      <name val="Calibri"/>
      <family val="2"/>
      <scheme val="minor"/>
    </font>
    <font>
      <b/>
      <vertAlign val="superscript"/>
      <sz val="10"/>
      <name val="Arial"/>
      <family val="2"/>
    </font>
    <font>
      <sz val="10"/>
      <name val="Calibri"/>
      <family val="2"/>
    </font>
    <font>
      <vertAlign val="superscript"/>
      <sz val="10"/>
      <name val="Arial"/>
      <family val="2"/>
    </font>
    <font>
      <b/>
      <i/>
      <sz val="10"/>
      <name val="Arial"/>
      <family val="2"/>
    </font>
    <font>
      <b/>
      <vertAlign val="superscript"/>
      <sz val="10"/>
      <color theme="1"/>
      <name val="Arial"/>
      <family val="2"/>
    </font>
  </fonts>
  <fills count="2">
    <fill>
      <patternFill patternType="none"/>
    </fill>
    <fill>
      <patternFill patternType="gray125"/>
    </fill>
  </fills>
  <borders count="19">
    <border>
      <left/>
      <right/>
      <top/>
      <bottom/>
      <diagonal/>
    </border>
    <border>
      <left style="thin">
        <color auto="1"/>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0" fontId="9" fillId="0" borderId="0"/>
    <xf numFmtId="0" fontId="13" fillId="0" borderId="0"/>
    <xf numFmtId="44" fontId="1" fillId="0" borderId="0" applyFont="0" applyFill="0" applyBorder="0" applyAlignment="0" applyProtection="0"/>
  </cellStyleXfs>
  <cellXfs count="341">
    <xf numFmtId="0" fontId="0" fillId="0" borderId="0" xfId="0"/>
    <xf numFmtId="0" fontId="0" fillId="0" borderId="0" xfId="0" applyAlignment="1">
      <alignment horizontal="center"/>
    </xf>
    <xf numFmtId="0" fontId="2" fillId="0" borderId="0" xfId="0" applyFont="1" applyAlignment="1">
      <alignment vertical="center"/>
    </xf>
    <xf numFmtId="0" fontId="2" fillId="0" borderId="0" xfId="0" applyFont="1" applyFill="1" applyAlignment="1">
      <alignment vertical="center"/>
    </xf>
    <xf numFmtId="3" fontId="0" fillId="0" borderId="0" xfId="0" applyNumberFormat="1" applyBorder="1" applyAlignment="1">
      <alignment horizontal="center"/>
    </xf>
    <xf numFmtId="0" fontId="0" fillId="0" borderId="0" xfId="0" applyBorder="1" applyAlignment="1">
      <alignment horizontal="center"/>
    </xf>
    <xf numFmtId="0" fontId="6" fillId="0" borderId="0" xfId="0" applyFont="1"/>
    <xf numFmtId="0" fontId="6" fillId="0" borderId="0" xfId="0" applyFont="1" applyAlignment="1">
      <alignment horizontal="center"/>
    </xf>
    <xf numFmtId="0" fontId="7" fillId="0" borderId="0" xfId="0" applyFont="1"/>
    <xf numFmtId="0" fontId="4" fillId="0" borderId="0" xfId="0" applyFont="1"/>
    <xf numFmtId="0" fontId="8" fillId="0" borderId="0" xfId="0" applyFont="1" applyAlignment="1">
      <alignment vertical="center"/>
    </xf>
    <xf numFmtId="0" fontId="0" fillId="0" borderId="0" xfId="0" applyFont="1"/>
    <xf numFmtId="166" fontId="14" fillId="0" borderId="0" xfId="0" applyNumberFormat="1" applyFont="1" applyAlignment="1">
      <alignment vertical="center"/>
    </xf>
    <xf numFmtId="0" fontId="14" fillId="0" borderId="0" xfId="0" applyFont="1" applyAlignment="1">
      <alignment vertical="center"/>
    </xf>
    <xf numFmtId="0" fontId="15" fillId="0" borderId="0" xfId="0" applyFont="1" applyFill="1" applyBorder="1" applyAlignment="1">
      <alignment horizontal="justify" vertical="center" wrapText="1"/>
    </xf>
    <xf numFmtId="164" fontId="16" fillId="0" borderId="0" xfId="1" applyNumberFormat="1" applyFont="1" applyFill="1" applyBorder="1" applyAlignment="1">
      <alignment horizontal="center" vertical="center" wrapText="1"/>
    </xf>
    <xf numFmtId="165" fontId="16" fillId="0" borderId="0" xfId="0" applyNumberFormat="1" applyFont="1" applyFill="1" applyBorder="1" applyAlignment="1">
      <alignment horizontal="center" vertical="center" wrapText="1"/>
    </xf>
    <xf numFmtId="168" fontId="0" fillId="0" borderId="0" xfId="1" applyNumberFormat="1" applyFont="1"/>
    <xf numFmtId="0" fontId="18" fillId="0" borderId="0" xfId="0" applyFont="1"/>
    <xf numFmtId="0" fontId="19" fillId="0" borderId="0" xfId="0" applyFont="1" applyAlignment="1">
      <alignment vertical="center"/>
    </xf>
    <xf numFmtId="0" fontId="20" fillId="0" borderId="0" xfId="0" applyFont="1" applyAlignment="1">
      <alignment vertical="center"/>
    </xf>
    <xf numFmtId="0" fontId="18" fillId="0" borderId="0" xfId="0" applyFont="1" applyAlignment="1">
      <alignment horizontal="center"/>
    </xf>
    <xf numFmtId="165" fontId="18" fillId="0" borderId="0" xfId="2" applyNumberFormat="1" applyFont="1"/>
    <xf numFmtId="165" fontId="18" fillId="0" borderId="0" xfId="0" applyNumberFormat="1" applyFont="1"/>
    <xf numFmtId="0" fontId="22" fillId="0" borderId="1" xfId="0" applyFont="1" applyBorder="1"/>
    <xf numFmtId="0" fontId="19" fillId="0" borderId="0" xfId="0" applyFont="1" applyFill="1" applyBorder="1" applyAlignment="1">
      <alignment horizontal="justify" vertical="center" wrapText="1"/>
    </xf>
    <xf numFmtId="165" fontId="9" fillId="0" borderId="0" xfId="0" applyNumberFormat="1" applyFont="1" applyFill="1" applyBorder="1" applyAlignment="1">
      <alignment horizontal="center" vertical="center" wrapText="1"/>
    </xf>
    <xf numFmtId="168" fontId="20" fillId="0" borderId="3" xfId="1" applyNumberFormat="1" applyFont="1" applyFill="1" applyBorder="1" applyAlignment="1">
      <alignment horizontal="right" vertical="center" wrapText="1"/>
    </xf>
    <xf numFmtId="0" fontId="21" fillId="0" borderId="0" xfId="0" applyFont="1"/>
    <xf numFmtId="0" fontId="25" fillId="0" borderId="12" xfId="0" applyFont="1" applyBorder="1" applyAlignment="1">
      <alignment vertical="center"/>
    </xf>
    <xf numFmtId="0" fontId="18" fillId="0" borderId="0" xfId="0" applyFont="1" applyBorder="1" applyAlignment="1">
      <alignment horizontal="center"/>
    </xf>
    <xf numFmtId="0" fontId="18" fillId="0" borderId="0" xfId="0" applyFont="1" applyFill="1"/>
    <xf numFmtId="166" fontId="27" fillId="0" borderId="0" xfId="0" applyNumberFormat="1" applyFont="1" applyAlignment="1">
      <alignment horizontal="right" vertical="center"/>
    </xf>
    <xf numFmtId="0" fontId="0" fillId="0" borderId="0" xfId="0" applyFont="1" applyFill="1"/>
    <xf numFmtId="0" fontId="19" fillId="0" borderId="0" xfId="0" applyFont="1" applyFill="1" applyAlignment="1">
      <alignment vertical="center"/>
    </xf>
    <xf numFmtId="0" fontId="22" fillId="0" borderId="0" xfId="0" applyFont="1"/>
    <xf numFmtId="169" fontId="20" fillId="0" borderId="3" xfId="6" applyNumberFormat="1" applyFont="1" applyFill="1" applyBorder="1" applyAlignment="1">
      <alignment horizontal="right" vertical="center" wrapText="1"/>
    </xf>
    <xf numFmtId="169" fontId="20" fillId="0" borderId="3" xfId="6" applyNumberFormat="1" applyFont="1" applyFill="1" applyBorder="1" applyAlignment="1">
      <alignment vertical="center" wrapText="1"/>
    </xf>
    <xf numFmtId="2" fontId="10" fillId="0" borderId="1" xfId="0" applyNumberFormat="1" applyFont="1" applyFill="1" applyBorder="1" applyAlignment="1">
      <alignment horizontal="center" vertical="center" wrapText="1"/>
    </xf>
    <xf numFmtId="3" fontId="23" fillId="0" borderId="0" xfId="3" applyNumberFormat="1" applyFont="1" applyFill="1" applyBorder="1" applyAlignment="1">
      <alignment horizontal="center" vertical="center" wrapText="1"/>
    </xf>
    <xf numFmtId="0" fontId="18" fillId="0" borderId="12" xfId="0" applyFont="1" applyBorder="1"/>
    <xf numFmtId="0" fontId="22" fillId="0" borderId="3" xfId="0" applyFont="1" applyBorder="1"/>
    <xf numFmtId="0" fontId="20" fillId="0" borderId="3" xfId="0" applyFont="1" applyFill="1" applyBorder="1" applyAlignment="1">
      <alignment horizontal="right" vertical="center" wrapText="1"/>
    </xf>
    <xf numFmtId="2" fontId="9" fillId="0" borderId="1" xfId="0" applyNumberFormat="1" applyFont="1" applyFill="1" applyBorder="1" applyAlignment="1">
      <alignment horizontal="center" vertical="center" wrapText="1"/>
    </xf>
    <xf numFmtId="0" fontId="0" fillId="0" borderId="0" xfId="0" applyBorder="1" applyAlignment="1">
      <alignment vertical="center" wrapText="1"/>
    </xf>
    <xf numFmtId="0" fontId="18" fillId="0" borderId="11" xfId="0" applyFont="1" applyBorder="1" applyAlignment="1">
      <alignment horizontal="center" vertical="center" wrapText="1"/>
    </xf>
    <xf numFmtId="167" fontId="25" fillId="0" borderId="14" xfId="2" applyNumberFormat="1" applyFont="1" applyBorder="1" applyAlignment="1">
      <alignment horizontal="center" vertical="center"/>
    </xf>
    <xf numFmtId="167" fontId="25" fillId="0" borderId="15" xfId="2" applyNumberFormat="1" applyFont="1" applyBorder="1" applyAlignment="1">
      <alignment horizontal="center" vertical="center"/>
    </xf>
    <xf numFmtId="167" fontId="25" fillId="0" borderId="13" xfId="2" applyNumberFormat="1" applyFont="1" applyBorder="1" applyAlignment="1">
      <alignment horizontal="center" vertical="center"/>
    </xf>
    <xf numFmtId="166" fontId="25" fillId="0" borderId="11" xfId="0" applyNumberFormat="1" applyFont="1" applyBorder="1" applyAlignment="1">
      <alignment horizontal="center" vertical="center"/>
    </xf>
    <xf numFmtId="2" fontId="10" fillId="0" borderId="0" xfId="0" applyNumberFormat="1" applyFont="1" applyFill="1" applyBorder="1" applyAlignment="1">
      <alignment horizontal="center" vertical="center" wrapText="1"/>
    </xf>
    <xf numFmtId="2" fontId="9" fillId="0" borderId="0" xfId="0" applyNumberFormat="1" applyFont="1" applyFill="1" applyBorder="1" applyAlignment="1">
      <alignment horizontal="center" vertical="center" wrapText="1"/>
    </xf>
    <xf numFmtId="167" fontId="9" fillId="0" borderId="3" xfId="0" applyNumberFormat="1" applyFont="1" applyFill="1" applyBorder="1" applyAlignment="1">
      <alignment horizontal="center" vertical="center"/>
    </xf>
    <xf numFmtId="167" fontId="10" fillId="0" borderId="2" xfId="0" applyNumberFormat="1" applyFont="1" applyFill="1" applyBorder="1" applyAlignment="1">
      <alignment horizontal="center" vertical="center"/>
    </xf>
    <xf numFmtId="167" fontId="9" fillId="0" borderId="2" xfId="0" applyNumberFormat="1" applyFont="1" applyFill="1" applyBorder="1" applyAlignment="1">
      <alignment horizontal="center" vertical="center"/>
    </xf>
    <xf numFmtId="0" fontId="12" fillId="0" borderId="0" xfId="0" applyFont="1"/>
    <xf numFmtId="0" fontId="0" fillId="0" borderId="0" xfId="0" applyFill="1"/>
    <xf numFmtId="0" fontId="34" fillId="0" borderId="0" xfId="0" applyFont="1" applyFill="1"/>
    <xf numFmtId="0" fontId="35" fillId="0" borderId="0" xfId="0" applyFont="1" applyFill="1"/>
    <xf numFmtId="0" fontId="5" fillId="0" borderId="0" xfId="0" applyFont="1" applyFill="1"/>
    <xf numFmtId="0" fontId="2" fillId="0" borderId="0" xfId="0" applyFont="1" applyFill="1"/>
    <xf numFmtId="0" fontId="11" fillId="0" borderId="0" xfId="0" applyFont="1" applyFill="1"/>
    <xf numFmtId="0" fontId="18" fillId="0" borderId="5" xfId="0" applyFont="1" applyFill="1" applyBorder="1"/>
    <xf numFmtId="0" fontId="2" fillId="0" borderId="0" xfId="0" applyFont="1" applyFill="1" applyAlignment="1">
      <alignment wrapText="1"/>
    </xf>
    <xf numFmtId="0" fontId="0" fillId="0" borderId="0" xfId="0" applyFill="1" applyAlignment="1">
      <alignment wrapText="1"/>
    </xf>
    <xf numFmtId="0" fontId="20" fillId="0" borderId="0" xfId="0" applyFont="1" applyFill="1" applyAlignment="1">
      <alignment vertical="center"/>
    </xf>
    <xf numFmtId="0" fontId="17" fillId="0" borderId="0" xfId="0" applyFont="1" applyFill="1"/>
    <xf numFmtId="0" fontId="9" fillId="0" borderId="0" xfId="0" applyFont="1" applyFill="1"/>
    <xf numFmtId="0" fontId="9" fillId="0" borderId="0" xfId="0" applyFont="1" applyFill="1" applyAlignment="1">
      <alignment vertical="center"/>
    </xf>
    <xf numFmtId="0" fontId="10" fillId="0" borderId="0" xfId="0" applyFont="1" applyFill="1" applyAlignment="1">
      <alignment vertical="center"/>
    </xf>
    <xf numFmtId="0" fontId="36" fillId="0" borderId="0" xfId="0" applyFont="1" applyFill="1"/>
    <xf numFmtId="0" fontId="37" fillId="0" borderId="0" xfId="0" applyFont="1" applyFill="1"/>
    <xf numFmtId="0" fontId="9" fillId="0" borderId="0" xfId="0" quotePrefix="1" applyFont="1" applyFill="1" applyAlignment="1">
      <alignment vertical="center"/>
    </xf>
    <xf numFmtId="0" fontId="9" fillId="0" borderId="3" xfId="0" applyFont="1" applyBorder="1" applyAlignment="1">
      <alignment horizontal="left" vertical="center" indent="1"/>
    </xf>
    <xf numFmtId="0" fontId="9" fillId="0" borderId="4" xfId="0" applyFont="1" applyBorder="1" applyAlignment="1">
      <alignment horizontal="left" vertical="center" indent="1"/>
    </xf>
    <xf numFmtId="0" fontId="14" fillId="0" borderId="0" xfId="0" applyFont="1" applyFill="1" applyAlignment="1">
      <alignment vertical="center"/>
    </xf>
    <xf numFmtId="3" fontId="14" fillId="0" borderId="0" xfId="0" applyNumberFormat="1" applyFont="1" applyFill="1" applyAlignment="1">
      <alignment vertical="center"/>
    </xf>
    <xf numFmtId="3" fontId="31" fillId="0" borderId="0" xfId="0" applyNumberFormat="1" applyFont="1" applyFill="1" applyAlignment="1">
      <alignment vertical="center"/>
    </xf>
    <xf numFmtId="166" fontId="31" fillId="0" borderId="0" xfId="0" applyNumberFormat="1" applyFont="1" applyFill="1" applyAlignment="1">
      <alignment vertical="center"/>
    </xf>
    <xf numFmtId="166" fontId="14" fillId="0" borderId="0" xfId="0" applyNumberFormat="1" applyFont="1" applyFill="1" applyAlignment="1">
      <alignment vertical="center"/>
    </xf>
    <xf numFmtId="0" fontId="18" fillId="0" borderId="0" xfId="0" applyFont="1" applyFill="1" applyBorder="1" applyAlignment="1">
      <alignment horizontal="center" vertical="center" wrapText="1"/>
    </xf>
    <xf numFmtId="2" fontId="0" fillId="0" borderId="0" xfId="0" applyNumberFormat="1" applyFill="1"/>
    <xf numFmtId="0" fontId="9" fillId="0" borderId="14"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5" fillId="0" borderId="0" xfId="0" applyFont="1" applyFill="1" applyAlignment="1">
      <alignment vertical="center"/>
    </xf>
    <xf numFmtId="0" fontId="12" fillId="0" borderId="0" xfId="0" applyFont="1" applyFill="1"/>
    <xf numFmtId="0" fontId="0" fillId="0" borderId="0" xfId="0" applyBorder="1"/>
    <xf numFmtId="0" fontId="6" fillId="0" borderId="0" xfId="0" applyFont="1" applyBorder="1" applyAlignment="1">
      <alignment horizontal="center"/>
    </xf>
    <xf numFmtId="0" fontId="0" fillId="0" borderId="0" xfId="0" applyFill="1" applyBorder="1" applyAlignment="1">
      <alignment wrapText="1"/>
    </xf>
    <xf numFmtId="0" fontId="6" fillId="0" borderId="0" xfId="0" applyFont="1" applyBorder="1"/>
    <xf numFmtId="0" fontId="38" fillId="0" borderId="0" xfId="0" applyFont="1" applyFill="1"/>
    <xf numFmtId="170" fontId="20" fillId="0" borderId="3" xfId="1" applyNumberFormat="1" applyFont="1" applyFill="1" applyBorder="1" applyAlignment="1">
      <alignment horizontal="right" vertical="center" wrapText="1"/>
    </xf>
    <xf numFmtId="164" fontId="9" fillId="0" borderId="14" xfId="0" applyNumberFormat="1" applyFont="1" applyBorder="1" applyAlignment="1">
      <alignment horizontal="center"/>
    </xf>
    <xf numFmtId="164" fontId="9" fillId="0" borderId="15" xfId="0" applyNumberFormat="1" applyFont="1" applyBorder="1" applyAlignment="1">
      <alignment horizontal="center"/>
    </xf>
    <xf numFmtId="164" fontId="9" fillId="0" borderId="13" xfId="0" applyNumberFormat="1" applyFont="1" applyBorder="1" applyAlignment="1">
      <alignment horizontal="center" wrapText="1"/>
    </xf>
    <xf numFmtId="0" fontId="23" fillId="0" borderId="11" xfId="0" applyFont="1" applyBorder="1" applyAlignment="1">
      <alignment vertical="center"/>
    </xf>
    <xf numFmtId="0" fontId="23" fillId="0" borderId="0" xfId="0" applyFont="1" applyFill="1"/>
    <xf numFmtId="0" fontId="18" fillId="0" borderId="3" xfId="0" applyFont="1" applyBorder="1" applyAlignment="1">
      <alignment horizontal="center"/>
    </xf>
    <xf numFmtId="2" fontId="18" fillId="0" borderId="3" xfId="2" applyNumberFormat="1" applyFont="1" applyBorder="1"/>
    <xf numFmtId="2" fontId="18" fillId="0" borderId="3" xfId="2" applyNumberFormat="1" applyFont="1" applyFill="1" applyBorder="1"/>
    <xf numFmtId="0" fontId="18" fillId="0" borderId="4" xfId="0" applyFont="1" applyBorder="1" applyAlignment="1">
      <alignment horizontal="center"/>
    </xf>
    <xf numFmtId="2" fontId="18" fillId="0" borderId="4" xfId="2" applyNumberFormat="1" applyFont="1" applyBorder="1"/>
    <xf numFmtId="2" fontId="18" fillId="0" borderId="4" xfId="2" applyNumberFormat="1" applyFont="1" applyFill="1" applyBorder="1"/>
    <xf numFmtId="0" fontId="19" fillId="0" borderId="11" xfId="0" applyFont="1" applyBorder="1" applyAlignment="1">
      <alignment horizontal="center" vertical="center" wrapText="1"/>
    </xf>
    <xf numFmtId="0" fontId="19" fillId="0" borderId="11" xfId="0" applyFont="1" applyFill="1" applyBorder="1" applyAlignment="1">
      <alignment horizontal="center" vertical="center" wrapText="1"/>
    </xf>
    <xf numFmtId="0" fontId="18" fillId="0" borderId="11" xfId="0" applyFont="1" applyBorder="1"/>
    <xf numFmtId="168" fontId="23" fillId="0" borderId="3" xfId="1" applyNumberFormat="1" applyFont="1" applyFill="1" applyBorder="1" applyAlignment="1">
      <alignment horizontal="right" vertical="center" wrapText="1"/>
    </xf>
    <xf numFmtId="169" fontId="23" fillId="0" borderId="3" xfId="6" applyNumberFormat="1" applyFont="1" applyFill="1" applyBorder="1" applyAlignment="1">
      <alignment horizontal="center" vertical="center" wrapText="1"/>
    </xf>
    <xf numFmtId="167" fontId="23" fillId="0" borderId="0" xfId="2" applyNumberFormat="1" applyFont="1" applyFill="1" applyBorder="1" applyAlignment="1">
      <alignment horizontal="center" vertical="center" wrapText="1"/>
    </xf>
    <xf numFmtId="167" fontId="23" fillId="0" borderId="2" xfId="2" applyNumberFormat="1" applyFont="1" applyFill="1" applyBorder="1" applyAlignment="1">
      <alignment horizontal="center" vertical="center" wrapText="1"/>
    </xf>
    <xf numFmtId="0" fontId="23" fillId="0" borderId="1" xfId="0" applyFont="1" applyFill="1" applyBorder="1" applyAlignment="1">
      <alignment horizontal="justify" vertical="center" wrapText="1"/>
    </xf>
    <xf numFmtId="170" fontId="23" fillId="0" borderId="3" xfId="1" applyNumberFormat="1" applyFont="1" applyFill="1" applyBorder="1" applyAlignment="1">
      <alignment horizontal="right" vertical="center" wrapText="1"/>
    </xf>
    <xf numFmtId="169" fontId="23" fillId="0" borderId="3" xfId="6" applyNumberFormat="1" applyFont="1" applyFill="1" applyBorder="1" applyAlignment="1">
      <alignment vertical="center" wrapText="1"/>
    </xf>
    <xf numFmtId="169" fontId="23" fillId="0" borderId="3" xfId="6" applyNumberFormat="1" applyFont="1" applyFill="1" applyBorder="1" applyAlignment="1">
      <alignment horizontal="right" vertical="center" wrapText="1"/>
    </xf>
    <xf numFmtId="0" fontId="23" fillId="0" borderId="14" xfId="0" applyFont="1" applyFill="1" applyBorder="1" applyAlignment="1">
      <alignment horizontal="justify" vertical="center" wrapText="1"/>
    </xf>
    <xf numFmtId="168" fontId="23" fillId="0" borderId="11" xfId="1" applyNumberFormat="1" applyFont="1" applyFill="1" applyBorder="1" applyAlignment="1">
      <alignment horizontal="right" vertical="center" wrapText="1"/>
    </xf>
    <xf numFmtId="169" fontId="23" fillId="0" borderId="11" xfId="6" applyNumberFormat="1" applyFont="1" applyFill="1" applyBorder="1" applyAlignment="1">
      <alignment horizontal="right" vertical="center" wrapText="1"/>
    </xf>
    <xf numFmtId="167" fontId="23" fillId="0" borderId="15" xfId="2" applyNumberFormat="1" applyFont="1" applyFill="1" applyBorder="1" applyAlignment="1">
      <alignment horizontal="center" vertical="center" wrapText="1"/>
    </xf>
    <xf numFmtId="167" fontId="23" fillId="0" borderId="13" xfId="2" applyNumberFormat="1" applyFont="1" applyFill="1" applyBorder="1" applyAlignment="1">
      <alignment horizontal="center" vertical="center" wrapText="1"/>
    </xf>
    <xf numFmtId="0" fontId="9" fillId="0" borderId="1" xfId="0" applyFont="1" applyFill="1" applyBorder="1" applyAlignment="1">
      <alignment horizontal="justify" vertical="center" wrapText="1"/>
    </xf>
    <xf numFmtId="164" fontId="9" fillId="0" borderId="3" xfId="1" applyNumberFormat="1" applyFont="1" applyFill="1" applyBorder="1" applyAlignment="1">
      <alignment horizontal="center" vertical="center" wrapText="1"/>
    </xf>
    <xf numFmtId="167" fontId="9" fillId="0" borderId="0" xfId="0" applyNumberFormat="1" applyFont="1" applyFill="1" applyBorder="1" applyAlignment="1">
      <alignment horizontal="center" vertical="center" wrapText="1"/>
    </xf>
    <xf numFmtId="167" fontId="9" fillId="0" borderId="2" xfId="0" applyNumberFormat="1" applyFont="1" applyFill="1" applyBorder="1" applyAlignment="1">
      <alignment horizontal="center" vertical="center" wrapText="1"/>
    </xf>
    <xf numFmtId="0" fontId="9" fillId="0" borderId="8" xfId="0" applyFont="1" applyFill="1" applyBorder="1" applyAlignment="1">
      <alignment horizontal="justify" vertical="center" wrapText="1"/>
    </xf>
    <xf numFmtId="164" fontId="9" fillId="0" borderId="4" xfId="1" applyNumberFormat="1" applyFont="1" applyFill="1" applyBorder="1" applyAlignment="1">
      <alignment horizontal="center" vertical="center" wrapText="1"/>
    </xf>
    <xf numFmtId="167" fontId="9" fillId="0" borderId="9" xfId="0" applyNumberFormat="1" applyFont="1" applyFill="1" applyBorder="1" applyAlignment="1">
      <alignment horizontal="center" vertical="center" wrapText="1"/>
    </xf>
    <xf numFmtId="167" fontId="9" fillId="0" borderId="10" xfId="0" applyNumberFormat="1" applyFont="1" applyFill="1" applyBorder="1" applyAlignment="1">
      <alignment horizontal="center" vertical="center" wrapText="1"/>
    </xf>
    <xf numFmtId="0" fontId="24" fillId="0" borderId="1" xfId="0" applyFont="1" applyFill="1" applyBorder="1" applyAlignment="1">
      <alignment horizontal="justify" vertical="center" wrapText="1"/>
    </xf>
    <xf numFmtId="168" fontId="24" fillId="0" borderId="3" xfId="1" applyNumberFormat="1" applyFont="1" applyFill="1" applyBorder="1" applyAlignment="1">
      <alignment horizontal="right" vertical="center" wrapText="1"/>
    </xf>
    <xf numFmtId="169" fontId="24" fillId="0" borderId="3" xfId="6" applyNumberFormat="1" applyFont="1" applyFill="1" applyBorder="1" applyAlignment="1">
      <alignment vertical="center" wrapText="1"/>
    </xf>
    <xf numFmtId="167" fontId="23" fillId="0" borderId="0" xfId="0" applyNumberFormat="1" applyFont="1" applyFill="1" applyBorder="1" applyAlignment="1">
      <alignment horizontal="center" vertical="center" wrapText="1"/>
    </xf>
    <xf numFmtId="167" fontId="23" fillId="0" borderId="2" xfId="0" applyNumberFormat="1" applyFont="1" applyFill="1" applyBorder="1" applyAlignment="1">
      <alignment horizontal="center" vertical="center" wrapText="1"/>
    </xf>
    <xf numFmtId="0" fontId="18" fillId="0" borderId="3" xfId="0" applyFont="1" applyBorder="1"/>
    <xf numFmtId="164" fontId="18" fillId="0" borderId="3" xfId="1" applyNumberFormat="1" applyFont="1" applyBorder="1" applyAlignment="1">
      <alignment horizontal="center"/>
    </xf>
    <xf numFmtId="0" fontId="21" fillId="0" borderId="4" xfId="0" applyFont="1" applyBorder="1"/>
    <xf numFmtId="164" fontId="18" fillId="0" borderId="4" xfId="0" applyNumberFormat="1" applyFont="1" applyBorder="1"/>
    <xf numFmtId="0" fontId="21" fillId="0" borderId="11" xfId="0" applyFont="1" applyBorder="1" applyAlignment="1">
      <alignment horizontal="center"/>
    </xf>
    <xf numFmtId="164" fontId="23" fillId="0" borderId="11" xfId="0" applyNumberFormat="1" applyFont="1" applyBorder="1" applyAlignment="1">
      <alignment horizontal="center"/>
    </xf>
    <xf numFmtId="0" fontId="23" fillId="0" borderId="12" xfId="0" applyFont="1" applyBorder="1" applyAlignment="1">
      <alignment vertical="center"/>
    </xf>
    <xf numFmtId="166" fontId="23" fillId="0" borderId="3" xfId="0" applyNumberFormat="1" applyFont="1" applyBorder="1" applyAlignment="1">
      <alignment horizontal="center" vertical="center"/>
    </xf>
    <xf numFmtId="0" fontId="23" fillId="0" borderId="3" xfId="0" applyFont="1" applyBorder="1" applyAlignment="1">
      <alignment vertical="center"/>
    </xf>
    <xf numFmtId="166" fontId="23" fillId="0" borderId="4" xfId="0" applyNumberFormat="1" applyFont="1" applyBorder="1" applyAlignment="1">
      <alignment horizontal="center" vertical="center"/>
    </xf>
    <xf numFmtId="0" fontId="23" fillId="0" borderId="0" xfId="0" applyFont="1"/>
    <xf numFmtId="0" fontId="21" fillId="0" borderId="0" xfId="0" applyFont="1" applyFill="1"/>
    <xf numFmtId="0" fontId="21" fillId="0" borderId="11" xfId="0" applyFont="1" applyFill="1" applyBorder="1"/>
    <xf numFmtId="0" fontId="21" fillId="0" borderId="11" xfId="0" applyFont="1" applyFill="1" applyBorder="1" applyAlignment="1">
      <alignment horizontal="center" wrapText="1"/>
    </xf>
    <xf numFmtId="166" fontId="18" fillId="0" borderId="3" xfId="0" applyNumberFormat="1" applyFont="1" applyBorder="1"/>
    <xf numFmtId="166" fontId="21" fillId="0" borderId="3" xfId="0" applyNumberFormat="1" applyFont="1" applyFill="1" applyBorder="1"/>
    <xf numFmtId="166" fontId="18" fillId="0" borderId="4" xfId="0" applyNumberFormat="1" applyFont="1" applyBorder="1"/>
    <xf numFmtId="167" fontId="21" fillId="0" borderId="3" xfId="2" applyNumberFormat="1" applyFont="1" applyBorder="1" applyAlignment="1">
      <alignment horizontal="center"/>
    </xf>
    <xf numFmtId="167" fontId="18" fillId="0" borderId="3" xfId="2" applyNumberFormat="1" applyFont="1" applyBorder="1" applyAlignment="1">
      <alignment horizontal="center"/>
    </xf>
    <xf numFmtId="0" fontId="9" fillId="0" borderId="3" xfId="0" applyFont="1" applyBorder="1"/>
    <xf numFmtId="167" fontId="21" fillId="0" borderId="4" xfId="2" applyNumberFormat="1" applyFont="1" applyBorder="1" applyAlignment="1">
      <alignment horizontal="center"/>
    </xf>
    <xf numFmtId="167" fontId="23" fillId="0" borderId="3" xfId="2" applyNumberFormat="1" applyFont="1" applyBorder="1" applyAlignment="1">
      <alignment horizontal="center" vertical="center"/>
    </xf>
    <xf numFmtId="167" fontId="9" fillId="0" borderId="3" xfId="2" applyNumberFormat="1" applyFont="1" applyBorder="1" applyAlignment="1">
      <alignment horizontal="center" vertical="center"/>
    </xf>
    <xf numFmtId="167" fontId="9" fillId="0" borderId="4" xfId="2" applyNumberFormat="1" applyFont="1" applyBorder="1" applyAlignment="1">
      <alignment horizontal="center" vertical="center"/>
    </xf>
    <xf numFmtId="0" fontId="9" fillId="0" borderId="3" xfId="0" applyFont="1" applyFill="1" applyBorder="1"/>
    <xf numFmtId="0" fontId="9" fillId="0" borderId="4" xfId="0" applyFont="1" applyFill="1" applyBorder="1" applyAlignment="1">
      <alignment wrapText="1"/>
    </xf>
    <xf numFmtId="164" fontId="18" fillId="0" borderId="3" xfId="1" applyNumberFormat="1" applyFont="1" applyFill="1" applyBorder="1" applyAlignment="1">
      <alignment horizontal="center"/>
    </xf>
    <xf numFmtId="0" fontId="9" fillId="0" borderId="12" xfId="0" applyFont="1" applyFill="1" applyBorder="1"/>
    <xf numFmtId="0" fontId="23" fillId="0" borderId="0" xfId="0" applyFont="1" applyFill="1" applyBorder="1" applyAlignment="1">
      <alignment horizontal="left" vertical="center" wrapText="1"/>
    </xf>
    <xf numFmtId="167" fontId="23" fillId="0" borderId="3" xfId="0" applyNumberFormat="1" applyFont="1" applyFill="1" applyBorder="1" applyAlignment="1">
      <alignment horizontal="center" vertical="center"/>
    </xf>
    <xf numFmtId="2" fontId="23" fillId="0" borderId="1" xfId="0" applyNumberFormat="1" applyFont="1" applyFill="1" applyBorder="1" applyAlignment="1">
      <alignment horizontal="center" vertical="center" wrapText="1"/>
    </xf>
    <xf numFmtId="2" fontId="23" fillId="0" borderId="0" xfId="0" applyNumberFormat="1" applyFont="1" applyFill="1" applyBorder="1" applyAlignment="1">
      <alignment horizontal="center" vertical="center" wrapText="1"/>
    </xf>
    <xf numFmtId="2" fontId="23" fillId="0" borderId="2" xfId="0" applyNumberFormat="1" applyFont="1" applyFill="1" applyBorder="1" applyAlignment="1">
      <alignment horizontal="center" vertical="center" wrapText="1"/>
    </xf>
    <xf numFmtId="2" fontId="23" fillId="0" borderId="3" xfId="0" applyNumberFormat="1" applyFont="1" applyFill="1" applyBorder="1" applyAlignment="1">
      <alignment horizontal="center" vertical="center" wrapText="1"/>
    </xf>
    <xf numFmtId="0" fontId="9" fillId="0" borderId="0" xfId="0" applyFont="1" applyFill="1" applyBorder="1" applyAlignment="1">
      <alignment horizontal="justify" vertical="center" wrapText="1"/>
    </xf>
    <xf numFmtId="2" fontId="10" fillId="0" borderId="3" xfId="0" applyNumberFormat="1" applyFont="1" applyFill="1" applyBorder="1" applyAlignment="1">
      <alignment horizontal="center" vertical="center" wrapText="1"/>
    </xf>
    <xf numFmtId="0" fontId="9" fillId="0" borderId="0" xfId="0" applyFont="1" applyFill="1" applyAlignment="1">
      <alignment horizontal="justify" vertical="center" wrapText="1"/>
    </xf>
    <xf numFmtId="2" fontId="10" fillId="0" borderId="0" xfId="0" applyNumberFormat="1" applyFont="1" applyFill="1" applyAlignment="1">
      <alignment horizontal="center" vertical="center" wrapText="1"/>
    </xf>
    <xf numFmtId="0" fontId="10" fillId="0" borderId="0" xfId="0" applyFont="1" applyFill="1" applyBorder="1" applyAlignment="1">
      <alignment horizontal="left" vertical="center" wrapText="1" indent="1"/>
    </xf>
    <xf numFmtId="167" fontId="10" fillId="0" borderId="3" xfId="0" applyNumberFormat="1" applyFont="1" applyFill="1" applyBorder="1" applyAlignment="1">
      <alignment horizontal="center" vertical="center"/>
    </xf>
    <xf numFmtId="0" fontId="23" fillId="0" borderId="0" xfId="0" applyFont="1" applyFill="1" applyBorder="1" applyAlignment="1">
      <alignment horizontal="justify" vertical="center" wrapText="1"/>
    </xf>
    <xf numFmtId="167" fontId="23" fillId="0" borderId="2" xfId="0" applyNumberFormat="1" applyFont="1" applyFill="1" applyBorder="1" applyAlignment="1">
      <alignment horizontal="center" vertical="center"/>
    </xf>
    <xf numFmtId="165" fontId="23" fillId="0" borderId="2" xfId="0" applyNumberFormat="1" applyFont="1" applyFill="1" applyBorder="1" applyAlignment="1">
      <alignment horizontal="center" vertical="center"/>
    </xf>
    <xf numFmtId="0" fontId="9" fillId="0" borderId="0" xfId="0" applyFont="1" applyFill="1" applyBorder="1" applyAlignment="1">
      <alignment horizontal="left" vertical="center" wrapText="1" indent="1"/>
    </xf>
    <xf numFmtId="2" fontId="9" fillId="0" borderId="3" xfId="0" applyNumberFormat="1" applyFont="1" applyFill="1" applyBorder="1" applyAlignment="1">
      <alignment horizontal="center" vertical="center" wrapText="1"/>
    </xf>
    <xf numFmtId="0" fontId="23" fillId="0" borderId="14" xfId="0" applyFont="1" applyFill="1" applyBorder="1" applyAlignment="1">
      <alignment horizontal="left" vertical="center" wrapText="1"/>
    </xf>
    <xf numFmtId="167" fontId="23" fillId="0" borderId="11" xfId="0" applyNumberFormat="1" applyFont="1" applyFill="1" applyBorder="1" applyAlignment="1">
      <alignment horizontal="center" vertical="center"/>
    </xf>
    <xf numFmtId="2" fontId="23" fillId="0" borderId="14" xfId="0" applyNumberFormat="1" applyFont="1" applyFill="1" applyBorder="1" applyAlignment="1">
      <alignment horizontal="center" vertical="center" wrapText="1"/>
    </xf>
    <xf numFmtId="2" fontId="23" fillId="0" borderId="15" xfId="0" applyNumberFormat="1" applyFont="1" applyFill="1" applyBorder="1" applyAlignment="1">
      <alignment horizontal="center" vertical="center" wrapText="1"/>
    </xf>
    <xf numFmtId="167" fontId="23" fillId="0" borderId="13" xfId="0" applyNumberFormat="1" applyFont="1" applyFill="1" applyBorder="1" applyAlignment="1">
      <alignment horizontal="center" vertical="center"/>
    </xf>
    <xf numFmtId="2" fontId="42" fillId="0" borderId="11" xfId="0" applyNumberFormat="1" applyFont="1" applyFill="1" applyBorder="1" applyAlignment="1">
      <alignment horizontal="center" vertical="center" wrapText="1"/>
    </xf>
    <xf numFmtId="0" fontId="22" fillId="0" borderId="0" xfId="0" applyFont="1" applyFill="1"/>
    <xf numFmtId="3" fontId="18" fillId="0" borderId="3" xfId="0" applyNumberFormat="1" applyFont="1" applyBorder="1" applyAlignment="1">
      <alignment horizontal="right"/>
    </xf>
    <xf numFmtId="3" fontId="23" fillId="0" borderId="11" xfId="3" applyNumberFormat="1" applyFont="1" applyFill="1" applyBorder="1" applyAlignment="1">
      <alignment horizontal="center" vertical="center"/>
    </xf>
    <xf numFmtId="3" fontId="23" fillId="0" borderId="11" xfId="3" applyNumberFormat="1" applyFont="1" applyFill="1" applyBorder="1" applyAlignment="1">
      <alignment horizontal="center" vertical="center" wrapText="1"/>
    </xf>
    <xf numFmtId="0" fontId="11" fillId="0" borderId="0" xfId="0" applyFont="1"/>
    <xf numFmtId="0" fontId="25" fillId="0" borderId="12" xfId="0" applyFont="1" applyFill="1" applyBorder="1" applyAlignment="1">
      <alignment horizontal="center" vertical="center"/>
    </xf>
    <xf numFmtId="0" fontId="25" fillId="0" borderId="3" xfId="0" applyFont="1" applyFill="1" applyBorder="1" applyAlignment="1">
      <alignment horizontal="center" vertical="center"/>
    </xf>
    <xf numFmtId="0" fontId="25" fillId="0" borderId="18" xfId="0" applyFont="1" applyFill="1" applyBorder="1" applyAlignment="1"/>
    <xf numFmtId="0" fontId="23" fillId="0" borderId="16" xfId="0" applyFont="1" applyFill="1" applyBorder="1" applyAlignment="1"/>
    <xf numFmtId="0" fontId="23" fillId="0" borderId="17" xfId="0" applyFont="1" applyFill="1" applyBorder="1" applyAlignment="1"/>
    <xf numFmtId="0" fontId="20" fillId="0" borderId="1" xfId="0" applyFont="1" applyFill="1" applyBorder="1" applyAlignment="1">
      <alignment horizontal="left" vertical="center" wrapText="1"/>
    </xf>
    <xf numFmtId="0" fontId="20" fillId="0" borderId="1" xfId="0" applyFont="1" applyFill="1" applyBorder="1" applyAlignment="1">
      <alignment horizontal="left" vertical="center" wrapText="1" indent="4"/>
    </xf>
    <xf numFmtId="166" fontId="23" fillId="0" borderId="1" xfId="0" applyNumberFormat="1" applyFont="1" applyBorder="1" applyAlignment="1">
      <alignment horizontal="center" vertical="center" wrapText="1"/>
    </xf>
    <xf numFmtId="166" fontId="23" fillId="0" borderId="1" xfId="0" applyNumberFormat="1" applyFont="1" applyBorder="1" applyAlignment="1">
      <alignment horizontal="center" vertical="center"/>
    </xf>
    <xf numFmtId="166" fontId="25" fillId="0" borderId="1" xfId="0" applyNumberFormat="1" applyFont="1" applyBorder="1" applyAlignment="1">
      <alignment horizontal="center" vertical="center"/>
    </xf>
    <xf numFmtId="0" fontId="20" fillId="0" borderId="3" xfId="0" applyFont="1" applyFill="1" applyBorder="1" applyAlignment="1">
      <alignment horizontal="left" vertical="center" wrapText="1"/>
    </xf>
    <xf numFmtId="0" fontId="20" fillId="0" borderId="3" xfId="0" applyFont="1" applyFill="1" applyBorder="1" applyAlignment="1">
      <alignment horizontal="left" vertical="center" wrapText="1" indent="4"/>
    </xf>
    <xf numFmtId="0" fontId="10" fillId="0" borderId="3" xfId="0" applyFont="1" applyFill="1" applyBorder="1" applyAlignment="1">
      <alignment horizontal="left" vertical="center" wrapText="1"/>
    </xf>
    <xf numFmtId="0" fontId="10" fillId="0" borderId="3" xfId="0" applyFont="1" applyFill="1" applyBorder="1" applyAlignment="1">
      <alignment horizontal="left" vertical="center" wrapText="1" indent="4"/>
    </xf>
    <xf numFmtId="0" fontId="26" fillId="0" borderId="3" xfId="0" applyFont="1" applyFill="1" applyBorder="1" applyAlignment="1">
      <alignment horizontal="left"/>
    </xf>
    <xf numFmtId="0" fontId="26" fillId="0" borderId="3" xfId="0" applyFont="1" applyFill="1" applyBorder="1" applyAlignment="1">
      <alignment horizontal="left" indent="4"/>
    </xf>
    <xf numFmtId="0" fontId="0" fillId="0" borderId="0" xfId="0" applyAlignment="1"/>
    <xf numFmtId="164" fontId="9" fillId="0" borderId="8" xfId="0" applyNumberFormat="1" applyFont="1" applyBorder="1" applyAlignment="1">
      <alignment horizontal="center" wrapText="1"/>
    </xf>
    <xf numFmtId="164" fontId="9" fillId="0" borderId="9" xfId="0" applyNumberFormat="1" applyFont="1" applyBorder="1" applyAlignment="1">
      <alignment horizontal="center"/>
    </xf>
    <xf numFmtId="167" fontId="20" fillId="0" borderId="0" xfId="2" applyNumberFormat="1" applyFont="1" applyFill="1" applyBorder="1" applyAlignment="1">
      <alignment horizontal="center" vertical="center" wrapText="1"/>
    </xf>
    <xf numFmtId="167" fontId="20" fillId="0" borderId="2" xfId="2" applyNumberFormat="1" applyFont="1" applyFill="1" applyBorder="1" applyAlignment="1">
      <alignment horizontal="center" vertical="center" wrapText="1"/>
    </xf>
    <xf numFmtId="0" fontId="23" fillId="0" borderId="12" xfId="0" applyFont="1" applyFill="1" applyBorder="1" applyAlignment="1">
      <alignment horizontal="left" vertical="center" wrapText="1"/>
    </xf>
    <xf numFmtId="0" fontId="18" fillId="0" borderId="12" xfId="0" applyFont="1" applyFill="1" applyBorder="1"/>
    <xf numFmtId="0" fontId="18" fillId="0" borderId="3" xfId="0" applyFont="1" applyFill="1" applyBorder="1"/>
    <xf numFmtId="164" fontId="18" fillId="0" borderId="3" xfId="0" applyNumberFormat="1" applyFont="1" applyFill="1" applyBorder="1"/>
    <xf numFmtId="0" fontId="18" fillId="0" borderId="3" xfId="0" applyFont="1" applyFill="1" applyBorder="1" applyAlignment="1">
      <alignment wrapText="1"/>
    </xf>
    <xf numFmtId="0" fontId="21" fillId="0" borderId="3" xfId="0" applyFont="1" applyFill="1" applyBorder="1"/>
    <xf numFmtId="0" fontId="21" fillId="0" borderId="4" xfId="0" applyFont="1" applyFill="1" applyBorder="1"/>
    <xf numFmtId="164" fontId="18" fillId="0" borderId="4" xfId="0" applyNumberFormat="1" applyFont="1" applyFill="1" applyBorder="1"/>
    <xf numFmtId="166" fontId="9" fillId="0" borderId="11" xfId="0" applyNumberFormat="1" applyFont="1" applyBorder="1" applyAlignment="1">
      <alignment horizontal="center" vertical="center" wrapText="1"/>
    </xf>
    <xf numFmtId="164" fontId="9" fillId="0" borderId="11" xfId="0" applyNumberFormat="1" applyFont="1" applyBorder="1" applyAlignment="1">
      <alignment horizontal="center"/>
    </xf>
    <xf numFmtId="164" fontId="21" fillId="0" borderId="3" xfId="1" applyNumberFormat="1" applyFont="1" applyFill="1" applyBorder="1" applyAlignment="1">
      <alignment horizontal="center"/>
    </xf>
    <xf numFmtId="164" fontId="21" fillId="0" borderId="3" xfId="0" applyNumberFormat="1" applyFont="1" applyFill="1" applyBorder="1"/>
    <xf numFmtId="164" fontId="21" fillId="0" borderId="4" xfId="0" applyNumberFormat="1" applyFont="1" applyFill="1" applyBorder="1"/>
    <xf numFmtId="167" fontId="21" fillId="0" borderId="3" xfId="2" applyNumberFormat="1" applyFont="1" applyFill="1" applyBorder="1" applyAlignment="1">
      <alignment horizontal="center"/>
    </xf>
    <xf numFmtId="167" fontId="18" fillId="0" borderId="3" xfId="2" applyNumberFormat="1" applyFont="1" applyFill="1" applyBorder="1" applyAlignment="1">
      <alignment horizontal="center"/>
    </xf>
    <xf numFmtId="0" fontId="27" fillId="0" borderId="3" xfId="0" applyFont="1" applyFill="1" applyBorder="1" applyAlignment="1">
      <alignment vertical="center"/>
    </xf>
    <xf numFmtId="3" fontId="9" fillId="0" borderId="3" xfId="3" applyNumberFormat="1" applyFont="1" applyFill="1" applyBorder="1" applyAlignment="1">
      <alignment horizontal="right" vertical="center"/>
    </xf>
    <xf numFmtId="0" fontId="27" fillId="0" borderId="4" xfId="0" applyFont="1" applyFill="1" applyBorder="1" applyAlignment="1">
      <alignment vertical="center"/>
    </xf>
    <xf numFmtId="3" fontId="9" fillId="0" borderId="4" xfId="3" applyNumberFormat="1" applyFont="1" applyFill="1" applyBorder="1" applyAlignment="1">
      <alignment horizontal="right" vertical="center"/>
    </xf>
    <xf numFmtId="169" fontId="20" fillId="0" borderId="2" xfId="6" applyNumberFormat="1" applyFont="1" applyFill="1" applyBorder="1" applyAlignment="1">
      <alignment horizontal="center" vertical="center" wrapText="1"/>
    </xf>
    <xf numFmtId="0" fontId="19" fillId="0" borderId="3" xfId="0" applyFont="1" applyFill="1" applyBorder="1" applyAlignment="1">
      <alignment horizontal="left" vertical="center" wrapText="1"/>
    </xf>
    <xf numFmtId="169" fontId="19" fillId="0" borderId="2" xfId="6" applyNumberFormat="1" applyFont="1" applyFill="1" applyBorder="1" applyAlignment="1">
      <alignment horizontal="center" vertical="center" wrapText="1"/>
    </xf>
    <xf numFmtId="0" fontId="19" fillId="0" borderId="3" xfId="0" applyFont="1" applyFill="1" applyBorder="1" applyAlignment="1">
      <alignment horizontal="justify" vertical="center" wrapText="1"/>
    </xf>
    <xf numFmtId="0" fontId="24" fillId="0" borderId="12" xfId="0" applyFont="1" applyFill="1" applyBorder="1" applyAlignment="1">
      <alignment horizontal="justify" vertical="center" wrapText="1"/>
    </xf>
    <xf numFmtId="169" fontId="24" fillId="0" borderId="7" xfId="6" applyNumberFormat="1" applyFont="1" applyFill="1" applyBorder="1" applyAlignment="1">
      <alignment horizontal="center" vertical="center" wrapText="1"/>
    </xf>
    <xf numFmtId="0" fontId="23" fillId="0" borderId="12" xfId="0" applyFont="1" applyFill="1" applyBorder="1" applyAlignment="1">
      <alignment horizontal="justify" vertical="center" wrapText="1"/>
    </xf>
    <xf numFmtId="169" fontId="23" fillId="0" borderId="7" xfId="6" applyNumberFormat="1" applyFont="1" applyFill="1" applyBorder="1" applyAlignment="1">
      <alignment horizontal="center" vertical="center" wrapText="1"/>
    </xf>
    <xf numFmtId="0" fontId="23" fillId="0" borderId="11" xfId="0" applyFont="1" applyFill="1" applyBorder="1" applyAlignment="1">
      <alignment horizontal="justify" vertical="center" wrapText="1"/>
    </xf>
    <xf numFmtId="169" fontId="23" fillId="0" borderId="13" xfId="6" applyNumberFormat="1" applyFont="1" applyFill="1" applyBorder="1" applyAlignment="1">
      <alignment horizontal="center" vertical="center" wrapText="1"/>
    </xf>
    <xf numFmtId="167" fontId="24" fillId="0" borderId="12" xfId="0" applyNumberFormat="1" applyFont="1" applyFill="1" applyBorder="1" applyAlignment="1">
      <alignment horizontal="center" vertical="center" wrapText="1"/>
    </xf>
    <xf numFmtId="167" fontId="20" fillId="0" borderId="3" xfId="2" applyNumberFormat="1" applyFont="1" applyFill="1" applyBorder="1" applyAlignment="1">
      <alignment horizontal="center" vertical="center" wrapText="1"/>
    </xf>
    <xf numFmtId="167" fontId="19" fillId="0" borderId="3" xfId="2" applyNumberFormat="1" applyFont="1" applyFill="1" applyBorder="1" applyAlignment="1">
      <alignment horizontal="center" vertical="center" wrapText="1"/>
    </xf>
    <xf numFmtId="167" fontId="23" fillId="0" borderId="12" xfId="0" applyNumberFormat="1" applyFont="1" applyFill="1" applyBorder="1" applyAlignment="1">
      <alignment horizontal="center" vertical="center" wrapText="1"/>
    </xf>
    <xf numFmtId="167" fontId="23" fillId="0" borderId="11" xfId="0" applyNumberFormat="1" applyFont="1" applyFill="1" applyBorder="1" applyAlignment="1">
      <alignment horizontal="center" vertical="center" wrapText="1"/>
    </xf>
    <xf numFmtId="164" fontId="9" fillId="0" borderId="13" xfId="0" applyNumberFormat="1" applyFont="1" applyBorder="1" applyAlignment="1">
      <alignment horizontal="center"/>
    </xf>
    <xf numFmtId="169" fontId="23" fillId="0" borderId="12" xfId="6" applyNumberFormat="1" applyFont="1" applyFill="1" applyBorder="1" applyAlignment="1">
      <alignment horizontal="center" vertical="center" wrapText="1"/>
    </xf>
    <xf numFmtId="169" fontId="20" fillId="0" borderId="3" xfId="6" applyNumberFormat="1" applyFont="1" applyFill="1" applyBorder="1" applyAlignment="1">
      <alignment horizontal="center" vertical="center" wrapText="1"/>
    </xf>
    <xf numFmtId="169" fontId="19" fillId="0" borderId="3" xfId="6" applyNumberFormat="1" applyFont="1" applyFill="1" applyBorder="1" applyAlignment="1">
      <alignment horizontal="center" vertical="center" wrapText="1"/>
    </xf>
    <xf numFmtId="169" fontId="23" fillId="0" borderId="11" xfId="6" applyNumberFormat="1" applyFont="1" applyFill="1" applyBorder="1" applyAlignment="1">
      <alignment horizontal="center" vertical="center" wrapText="1"/>
    </xf>
    <xf numFmtId="0" fontId="18" fillId="0" borderId="1" xfId="0" applyFont="1" applyFill="1" applyBorder="1" applyAlignment="1">
      <alignment horizontal="center" vertical="center"/>
    </xf>
    <xf numFmtId="0" fontId="18" fillId="0" borderId="2" xfId="0" applyFont="1" applyFill="1" applyBorder="1" applyAlignment="1">
      <alignment horizontal="center" vertical="center"/>
    </xf>
    <xf numFmtId="0" fontId="21" fillId="0" borderId="12" xfId="0" applyFont="1" applyFill="1" applyBorder="1"/>
    <xf numFmtId="3" fontId="23" fillId="0" borderId="5" xfId="0" applyNumberFormat="1" applyFont="1" applyFill="1" applyBorder="1" applyAlignment="1">
      <alignment horizontal="center"/>
    </xf>
    <xf numFmtId="3" fontId="23" fillId="0" borderId="7" xfId="0" applyNumberFormat="1" applyFont="1" applyFill="1" applyBorder="1" applyAlignment="1">
      <alignment horizontal="center"/>
    </xf>
    <xf numFmtId="3" fontId="10" fillId="0" borderId="1" xfId="0" applyNumberFormat="1" applyFont="1" applyFill="1" applyBorder="1" applyAlignment="1">
      <alignment horizontal="center"/>
    </xf>
    <xf numFmtId="3" fontId="10" fillId="0" borderId="2" xfId="0" applyNumberFormat="1" applyFont="1" applyFill="1" applyBorder="1" applyAlignment="1">
      <alignment horizontal="center"/>
    </xf>
    <xf numFmtId="0" fontId="23" fillId="0" borderId="12" xfId="0" applyFont="1" applyFill="1" applyBorder="1" applyAlignment="1">
      <alignment horizontal="left"/>
    </xf>
    <xf numFmtId="3" fontId="9" fillId="0" borderId="2" xfId="0" applyNumberFormat="1" applyFont="1" applyFill="1" applyBorder="1" applyAlignment="1">
      <alignment horizontal="center"/>
    </xf>
    <xf numFmtId="0" fontId="23" fillId="0" borderId="12" xfId="0" applyFont="1" applyFill="1" applyBorder="1"/>
    <xf numFmtId="3" fontId="9" fillId="0" borderId="5" xfId="0" applyNumberFormat="1" applyFont="1" applyFill="1" applyBorder="1" applyAlignment="1">
      <alignment horizontal="center"/>
    </xf>
    <xf numFmtId="3" fontId="9" fillId="0" borderId="7" xfId="0" applyNumberFormat="1" applyFont="1" applyFill="1" applyBorder="1" applyAlignment="1">
      <alignment horizontal="center"/>
    </xf>
    <xf numFmtId="3" fontId="23" fillId="0" borderId="14" xfId="0" applyNumberFormat="1" applyFont="1" applyFill="1" applyBorder="1" applyAlignment="1">
      <alignment horizontal="center"/>
    </xf>
    <xf numFmtId="3" fontId="23" fillId="0" borderId="13" xfId="0" applyNumberFormat="1" applyFont="1" applyFill="1" applyBorder="1" applyAlignment="1">
      <alignment horizontal="center"/>
    </xf>
    <xf numFmtId="0" fontId="27" fillId="0" borderId="3" xfId="0" applyFont="1" applyFill="1" applyBorder="1" applyAlignment="1">
      <alignment horizontal="left"/>
    </xf>
    <xf numFmtId="3" fontId="9" fillId="0" borderId="1" xfId="0" applyNumberFormat="1" applyFont="1" applyFill="1" applyBorder="1" applyAlignment="1">
      <alignment horizontal="center"/>
    </xf>
    <xf numFmtId="0" fontId="9" fillId="0" borderId="3" xfId="0" applyFont="1" applyFill="1" applyBorder="1" applyAlignment="1">
      <alignment horizontal="left"/>
    </xf>
    <xf numFmtId="3" fontId="23" fillId="0" borderId="1" xfId="0" applyNumberFormat="1" applyFont="1" applyFill="1" applyBorder="1" applyAlignment="1">
      <alignment horizontal="center"/>
    </xf>
    <xf numFmtId="3" fontId="23" fillId="0" borderId="2" xfId="0" applyNumberFormat="1" applyFont="1" applyFill="1" applyBorder="1" applyAlignment="1">
      <alignment horizontal="center"/>
    </xf>
    <xf numFmtId="0" fontId="21" fillId="0" borderId="12" xfId="0" applyFont="1" applyFill="1" applyBorder="1" applyAlignment="1">
      <alignment horizontal="left"/>
    </xf>
    <xf numFmtId="0" fontId="23" fillId="0" borderId="11" xfId="0" applyFont="1" applyFill="1" applyBorder="1" applyAlignment="1">
      <alignment horizontal="left"/>
    </xf>
    <xf numFmtId="0" fontId="21" fillId="0" borderId="11" xfId="0" applyFont="1" applyFill="1" applyBorder="1" applyAlignment="1">
      <alignment horizontal="left"/>
    </xf>
    <xf numFmtId="0" fontId="23" fillId="0" borderId="11" xfId="0" applyFont="1" applyFill="1" applyBorder="1"/>
    <xf numFmtId="3" fontId="9" fillId="0" borderId="12" xfId="3" applyNumberFormat="1" applyFont="1" applyFill="1" applyBorder="1" applyAlignment="1">
      <alignment horizontal="center" vertical="center" wrapText="1"/>
    </xf>
    <xf numFmtId="3" fontId="23" fillId="0" borderId="12" xfId="0" applyNumberFormat="1" applyFont="1" applyFill="1" applyBorder="1" applyAlignment="1">
      <alignment horizontal="center"/>
    </xf>
    <xf numFmtId="3" fontId="10" fillId="0" borderId="3" xfId="0" applyNumberFormat="1" applyFont="1" applyFill="1" applyBorder="1" applyAlignment="1">
      <alignment horizontal="center"/>
    </xf>
    <xf numFmtId="3" fontId="9" fillId="0" borderId="3" xfId="0" applyNumberFormat="1" applyFont="1" applyFill="1" applyBorder="1" applyAlignment="1">
      <alignment horizontal="center"/>
    </xf>
    <xf numFmtId="3" fontId="9" fillId="0" borderId="12" xfId="0" applyNumberFormat="1" applyFont="1" applyFill="1" applyBorder="1" applyAlignment="1">
      <alignment horizontal="center"/>
    </xf>
    <xf numFmtId="3" fontId="23" fillId="0" borderId="11" xfId="0" applyNumberFormat="1" applyFont="1" applyFill="1" applyBorder="1" applyAlignment="1">
      <alignment horizontal="center"/>
    </xf>
    <xf numFmtId="0" fontId="23" fillId="0" borderId="18" xfId="0" applyFont="1" applyFill="1" applyBorder="1" applyAlignment="1"/>
    <xf numFmtId="3" fontId="23" fillId="0" borderId="3" xfId="0" applyNumberFormat="1" applyFont="1" applyFill="1" applyBorder="1" applyAlignment="1">
      <alignment horizontal="center"/>
    </xf>
    <xf numFmtId="0" fontId="23" fillId="0" borderId="0" xfId="0" applyFont="1" applyAlignment="1">
      <alignment horizontal="left"/>
    </xf>
    <xf numFmtId="0" fontId="18" fillId="0" borderId="3" xfId="0" applyFont="1" applyBorder="1" applyAlignment="1">
      <alignment horizontal="left"/>
    </xf>
    <xf numFmtId="0" fontId="18" fillId="0" borderId="4" xfId="0" applyFont="1" applyBorder="1" applyAlignment="1">
      <alignment horizontal="left"/>
    </xf>
    <xf numFmtId="0" fontId="9" fillId="0" borderId="0" xfId="0" applyFont="1" applyFill="1" applyAlignment="1">
      <alignment horizontal="left" vertical="center"/>
    </xf>
    <xf numFmtId="0" fontId="9" fillId="0" borderId="0" xfId="0" applyFont="1" applyFill="1" applyAlignment="1">
      <alignment horizontal="left"/>
    </xf>
    <xf numFmtId="0" fontId="5" fillId="0" borderId="0" xfId="0" applyFont="1" applyFill="1" applyAlignment="1">
      <alignment horizontal="left"/>
    </xf>
    <xf numFmtId="0" fontId="0" fillId="0" borderId="0" xfId="0" applyAlignment="1">
      <alignment horizontal="left"/>
    </xf>
    <xf numFmtId="0" fontId="9" fillId="0" borderId="6" xfId="0" applyFont="1" applyBorder="1" applyAlignment="1">
      <alignment horizontal="left" vertical="center" wrapText="1"/>
    </xf>
    <xf numFmtId="0" fontId="0" fillId="0" borderId="6" xfId="0" applyBorder="1" applyAlignment="1">
      <alignment wrapText="1"/>
    </xf>
    <xf numFmtId="0" fontId="9" fillId="0" borderId="0" xfId="0" applyFont="1" applyAlignment="1">
      <alignment vertical="center"/>
    </xf>
    <xf numFmtId="0" fontId="0" fillId="0" borderId="0" xfId="0" applyAlignment="1"/>
    <xf numFmtId="165" fontId="18" fillId="0" borderId="9" xfId="2" applyNumberFormat="1" applyFont="1" applyBorder="1" applyAlignment="1">
      <alignment horizontal="right"/>
    </xf>
    <xf numFmtId="0" fontId="0" fillId="0" borderId="9" xfId="0" applyBorder="1" applyAlignment="1">
      <alignment horizontal="right"/>
    </xf>
    <xf numFmtId="0" fontId="9" fillId="0" borderId="0" xfId="0" applyFont="1" applyFill="1" applyAlignment="1">
      <alignment vertical="center" wrapText="1"/>
    </xf>
    <xf numFmtId="0" fontId="34" fillId="0" borderId="0" xfId="0" applyFont="1" applyFill="1" applyAlignment="1">
      <alignment wrapText="1"/>
    </xf>
    <xf numFmtId="0" fontId="21" fillId="0" borderId="14" xfId="0" applyFont="1" applyFill="1" applyBorder="1" applyAlignment="1">
      <alignment horizontal="center" vertical="center" wrapText="1" shrinkToFit="1"/>
    </xf>
    <xf numFmtId="0" fontId="21" fillId="0" borderId="15" xfId="0" applyFont="1" applyFill="1" applyBorder="1" applyAlignment="1">
      <alignment horizontal="center" vertical="center" wrapText="1" shrinkToFit="1"/>
    </xf>
    <xf numFmtId="0" fontId="21" fillId="0" borderId="13" xfId="0" applyFont="1" applyFill="1" applyBorder="1" applyAlignment="1">
      <alignment horizontal="center" vertical="center" wrapText="1" shrinkToFit="1"/>
    </xf>
    <xf numFmtId="0" fontId="23" fillId="0" borderId="5" xfId="0" applyFont="1" applyFill="1" applyBorder="1" applyAlignment="1">
      <alignment horizontal="center" vertical="center" wrapText="1"/>
    </xf>
    <xf numFmtId="0" fontId="23" fillId="0" borderId="6" xfId="0" applyFont="1" applyFill="1" applyBorder="1" applyAlignment="1">
      <alignment horizontal="center" vertical="center" wrapText="1"/>
    </xf>
    <xf numFmtId="0" fontId="9" fillId="0" borderId="6" xfId="0" applyFont="1" applyFill="1" applyBorder="1" applyAlignment="1">
      <alignment horizontal="justify" vertical="center" wrapText="1"/>
    </xf>
    <xf numFmtId="0" fontId="34" fillId="0" borderId="6" xfId="0" applyFont="1" applyBorder="1" applyAlignment="1">
      <alignment vertical="center" wrapText="1"/>
    </xf>
    <xf numFmtId="0" fontId="9" fillId="0" borderId="0" xfId="0" applyFont="1" applyFill="1" applyAlignment="1">
      <alignment wrapText="1"/>
    </xf>
    <xf numFmtId="0" fontId="34" fillId="0" borderId="0" xfId="0" applyFont="1" applyFill="1" applyAlignment="1"/>
    <xf numFmtId="0" fontId="18" fillId="0" borderId="9" xfId="0" applyFont="1" applyBorder="1" applyAlignment="1">
      <alignment horizontal="right"/>
    </xf>
    <xf numFmtId="0" fontId="9" fillId="0" borderId="0" xfId="0" applyFont="1" applyAlignment="1">
      <alignment vertical="center" wrapText="1"/>
    </xf>
    <xf numFmtId="0" fontId="34" fillId="0" borderId="0" xfId="0" applyFont="1" applyAlignment="1"/>
    <xf numFmtId="0" fontId="23" fillId="0" borderId="14" xfId="0" applyFont="1" applyFill="1" applyBorder="1" applyAlignment="1">
      <alignment horizontal="center"/>
    </xf>
    <xf numFmtId="0" fontId="2" fillId="0" borderId="15" xfId="0" applyFont="1" applyBorder="1" applyAlignment="1">
      <alignment horizontal="center"/>
    </xf>
    <xf numFmtId="0" fontId="2" fillId="0" borderId="13" xfId="0" applyFont="1" applyBorder="1" applyAlignment="1">
      <alignment horizontal="center"/>
    </xf>
    <xf numFmtId="0" fontId="9" fillId="0" borderId="6" xfId="0" applyFont="1" applyFill="1" applyBorder="1" applyAlignment="1">
      <alignment wrapText="1"/>
    </xf>
    <xf numFmtId="0" fontId="0" fillId="0" borderId="6" xfId="0" applyBorder="1" applyAlignment="1"/>
    <xf numFmtId="0" fontId="10" fillId="0" borderId="0" xfId="0" applyFont="1" applyFill="1" applyAlignment="1">
      <alignment vertical="center" wrapText="1"/>
    </xf>
    <xf numFmtId="0" fontId="18" fillId="0" borderId="9" xfId="0" applyFont="1" applyFill="1" applyBorder="1" applyAlignment="1">
      <alignment horizontal="right"/>
    </xf>
    <xf numFmtId="0" fontId="9" fillId="0" borderId="6" xfId="0" applyFont="1" applyBorder="1" applyAlignment="1">
      <alignment vertical="center" wrapText="1"/>
    </xf>
    <xf numFmtId="0" fontId="34" fillId="0" borderId="6" xfId="0" applyFont="1" applyBorder="1" applyAlignment="1">
      <alignment wrapText="1"/>
    </xf>
    <xf numFmtId="0" fontId="9" fillId="0" borderId="6" xfId="0" quotePrefix="1" applyFont="1" applyFill="1" applyBorder="1" applyAlignment="1">
      <alignment wrapText="1"/>
    </xf>
    <xf numFmtId="0" fontId="9" fillId="0" borderId="0" xfId="0" quotePrefix="1" applyFont="1" applyFill="1" applyAlignment="1">
      <alignment horizontal="left"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4" xfId="0" applyFont="1" applyBorder="1" applyAlignment="1">
      <alignment horizontal="center" vertical="center" wrapText="1"/>
    </xf>
    <xf numFmtId="0" fontId="34" fillId="0" borderId="4" xfId="0" applyFont="1" applyBorder="1" applyAlignment="1">
      <alignment horizontal="center" vertical="center"/>
    </xf>
    <xf numFmtId="0" fontId="18" fillId="0" borderId="7"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6" xfId="0" applyFont="1" applyFill="1" applyBorder="1" applyAlignment="1"/>
    <xf numFmtId="0" fontId="19" fillId="0" borderId="0" xfId="0" applyFont="1" applyFill="1" applyAlignment="1">
      <alignment vertical="center" wrapText="1"/>
    </xf>
    <xf numFmtId="0" fontId="0" fillId="0" borderId="0" xfId="0" applyAlignment="1">
      <alignment wrapText="1"/>
    </xf>
    <xf numFmtId="0" fontId="9" fillId="0" borderId="3" xfId="0" applyFont="1" applyBorder="1" applyAlignment="1">
      <alignment horizontal="center" vertical="center" wrapText="1"/>
    </xf>
    <xf numFmtId="0" fontId="9" fillId="0" borderId="7" xfId="0" applyFont="1" applyBorder="1" applyAlignment="1">
      <alignment horizontal="center" vertical="center" wrapText="1"/>
    </xf>
    <xf numFmtId="0" fontId="9" fillId="0" borderId="2" xfId="0" applyFont="1" applyBorder="1" applyAlignment="1">
      <alignment horizontal="center" vertical="center" wrapText="1"/>
    </xf>
    <xf numFmtId="0" fontId="23" fillId="0" borderId="6" xfId="0" applyFont="1" applyBorder="1" applyAlignment="1">
      <alignment horizontal="center" vertical="center" wrapText="1" shrinkToFit="1"/>
    </xf>
    <xf numFmtId="0" fontId="23" fillId="0" borderId="7" xfId="0" applyFont="1" applyBorder="1" applyAlignment="1">
      <alignment horizontal="center" vertical="center" wrapText="1" shrinkToFit="1"/>
    </xf>
    <xf numFmtId="0" fontId="19" fillId="0" borderId="0" xfId="0" applyFont="1" applyFill="1" applyAlignment="1">
      <alignment horizontal="left" vertical="center" wrapText="1"/>
    </xf>
    <xf numFmtId="0" fontId="21" fillId="0" borderId="14" xfId="0" applyFont="1" applyFill="1" applyBorder="1" applyAlignment="1">
      <alignment horizontal="center" vertical="center"/>
    </xf>
    <xf numFmtId="0" fontId="18" fillId="0" borderId="13" xfId="0" applyFont="1" applyFill="1" applyBorder="1" applyAlignment="1">
      <alignment horizontal="center" vertical="center"/>
    </xf>
    <xf numFmtId="3" fontId="23" fillId="0" borderId="14" xfId="3" applyNumberFormat="1" applyFont="1" applyFill="1" applyBorder="1" applyAlignment="1">
      <alignment horizontal="center" vertical="center"/>
    </xf>
    <xf numFmtId="0" fontId="18" fillId="0" borderId="15" xfId="0" applyFont="1" applyFill="1" applyBorder="1" applyAlignment="1">
      <alignment horizontal="center" vertical="center"/>
    </xf>
    <xf numFmtId="0" fontId="18" fillId="0" borderId="0" xfId="0" applyFont="1" applyBorder="1" applyAlignment="1">
      <alignment horizontal="right"/>
    </xf>
    <xf numFmtId="0" fontId="0" fillId="0" borderId="0" xfId="0" applyBorder="1" applyAlignment="1">
      <alignment horizontal="right"/>
    </xf>
  </cellXfs>
  <cellStyles count="7">
    <cellStyle name="Milliers" xfId="1" builtinId="3"/>
    <cellStyle name="Monétaire" xfId="6" builtinId="4"/>
    <cellStyle name="Motif" xfId="4"/>
    <cellStyle name="Normal" xfId="0" builtinId="0"/>
    <cellStyle name="Normal 2" xfId="5"/>
    <cellStyle name="Normal 3" xfId="3"/>
    <cellStyle name="Pourcentage" xfId="2" builtinId="5"/>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yomon/Mes%20Documents/Boulot%20-%20Tr&#233;sor,%20Insee/Insee-DSDS-%20Microsimulation%20Ines/FPS%202016/Cas_types_2015_v14_IR_m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GT%20MIR\IRef%20RPM\Figures%202018\Revpmen21_D2_CND-V2-DMD_VLG_AG_ms_avec%20liaison_arrond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lire"/>
      <sheetName val="Barème"/>
      <sheetName val="Base_celib40"/>
      <sheetName val="Base_couple_2enfants"/>
      <sheetName val="Base_couple_0enfants"/>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 1"/>
      <sheetName val="Figure 3"/>
      <sheetName val="Figure 2"/>
      <sheetName val="Figure 4"/>
      <sheetName val="Figure 5"/>
      <sheetName val="Figure 6"/>
      <sheetName val="Figure 7"/>
      <sheetName val="Figure 8"/>
      <sheetName val="Figure 9"/>
      <sheetName val="Figure encadré 1"/>
      <sheetName val="Figure 2 complémentaire"/>
      <sheetName val="figure annexe 2"/>
    </sheetNames>
    <sheetDataSet>
      <sheetData sheetId="0"/>
      <sheetData sheetId="1"/>
      <sheetData sheetId="2">
        <row r="6">
          <cell r="D6" t="str">
            <v>Inférieur à D1</v>
          </cell>
          <cell r="E6" t="str">
            <v>D1 à D2</v>
          </cell>
          <cell r="F6" t="str">
            <v>D2 à D3</v>
          </cell>
          <cell r="G6" t="str">
            <v>D3 à D4</v>
          </cell>
          <cell r="H6" t="str">
            <v>D4 à D5</v>
          </cell>
          <cell r="I6" t="str">
            <v>D5 à D6</v>
          </cell>
          <cell r="J6" t="str">
            <v>D6 à D7</v>
          </cell>
          <cell r="K6" t="str">
            <v>D7 à D8</v>
          </cell>
          <cell r="L6" t="str">
            <v>D8 à D9</v>
          </cell>
          <cell r="M6" t="str">
            <v>Supérieur à D9</v>
          </cell>
        </row>
      </sheetData>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T78"/>
  <sheetViews>
    <sheetView tabSelected="1" workbookViewId="0"/>
  </sheetViews>
  <sheetFormatPr baseColWidth="10" defaultRowHeight="15" x14ac:dyDescent="0.25"/>
  <cols>
    <col min="1" max="1" width="9.7109375" customWidth="1"/>
    <col min="2" max="2" width="17.5703125" customWidth="1"/>
    <col min="3" max="3" width="15.140625" customWidth="1"/>
    <col min="7" max="7" width="17" customWidth="1"/>
    <col min="72" max="72" width="11.85546875" bestFit="1" customWidth="1"/>
    <col min="257" max="257" width="66.42578125" customWidth="1"/>
    <col min="513" max="513" width="66.42578125" customWidth="1"/>
    <col min="769" max="769" width="66.42578125" customWidth="1"/>
    <col min="1025" max="1025" width="66.42578125" customWidth="1"/>
    <col min="1281" max="1281" width="66.42578125" customWidth="1"/>
    <col min="1537" max="1537" width="66.42578125" customWidth="1"/>
    <col min="1793" max="1793" width="66.42578125" customWidth="1"/>
    <col min="2049" max="2049" width="66.42578125" customWidth="1"/>
    <col min="2305" max="2305" width="66.42578125" customWidth="1"/>
    <col min="2561" max="2561" width="66.42578125" customWidth="1"/>
    <col min="2817" max="2817" width="66.42578125" customWidth="1"/>
    <col min="3073" max="3073" width="66.42578125" customWidth="1"/>
    <col min="3329" max="3329" width="66.42578125" customWidth="1"/>
    <col min="3585" max="3585" width="66.42578125" customWidth="1"/>
    <col min="3841" max="3841" width="66.42578125" customWidth="1"/>
    <col min="4097" max="4097" width="66.42578125" customWidth="1"/>
    <col min="4353" max="4353" width="66.42578125" customWidth="1"/>
    <col min="4609" max="4609" width="66.42578125" customWidth="1"/>
    <col min="4865" max="4865" width="66.42578125" customWidth="1"/>
    <col min="5121" max="5121" width="66.42578125" customWidth="1"/>
    <col min="5377" max="5377" width="66.42578125" customWidth="1"/>
    <col min="5633" max="5633" width="66.42578125" customWidth="1"/>
    <col min="5889" max="5889" width="66.42578125" customWidth="1"/>
    <col min="6145" max="6145" width="66.42578125" customWidth="1"/>
    <col min="6401" max="6401" width="66.42578125" customWidth="1"/>
    <col min="6657" max="6657" width="66.42578125" customWidth="1"/>
    <col min="6913" max="6913" width="66.42578125" customWidth="1"/>
    <col min="7169" max="7169" width="66.42578125" customWidth="1"/>
    <col min="7425" max="7425" width="66.42578125" customWidth="1"/>
    <col min="7681" max="7681" width="66.42578125" customWidth="1"/>
    <col min="7937" max="7937" width="66.42578125" customWidth="1"/>
    <col min="8193" max="8193" width="66.42578125" customWidth="1"/>
    <col min="8449" max="8449" width="66.42578125" customWidth="1"/>
    <col min="8705" max="8705" width="66.42578125" customWidth="1"/>
    <col min="8961" max="8961" width="66.42578125" customWidth="1"/>
    <col min="9217" max="9217" width="66.42578125" customWidth="1"/>
    <col min="9473" max="9473" width="66.42578125" customWidth="1"/>
    <col min="9729" max="9729" width="66.42578125" customWidth="1"/>
    <col min="9985" max="9985" width="66.42578125" customWidth="1"/>
    <col min="10241" max="10241" width="66.42578125" customWidth="1"/>
    <col min="10497" max="10497" width="66.42578125" customWidth="1"/>
    <col min="10753" max="10753" width="66.42578125" customWidth="1"/>
    <col min="11009" max="11009" width="66.42578125" customWidth="1"/>
    <col min="11265" max="11265" width="66.42578125" customWidth="1"/>
    <col min="11521" max="11521" width="66.42578125" customWidth="1"/>
    <col min="11777" max="11777" width="66.42578125" customWidth="1"/>
    <col min="12033" max="12033" width="66.42578125" customWidth="1"/>
    <col min="12289" max="12289" width="66.42578125" customWidth="1"/>
    <col min="12545" max="12545" width="66.42578125" customWidth="1"/>
    <col min="12801" max="12801" width="66.42578125" customWidth="1"/>
    <col min="13057" max="13057" width="66.42578125" customWidth="1"/>
    <col min="13313" max="13313" width="66.42578125" customWidth="1"/>
    <col min="13569" max="13569" width="66.42578125" customWidth="1"/>
    <col min="13825" max="13825" width="66.42578125" customWidth="1"/>
    <col min="14081" max="14081" width="66.42578125" customWidth="1"/>
    <col min="14337" max="14337" width="66.42578125" customWidth="1"/>
    <col min="14593" max="14593" width="66.42578125" customWidth="1"/>
    <col min="14849" max="14849" width="66.42578125" customWidth="1"/>
    <col min="15105" max="15105" width="66.42578125" customWidth="1"/>
    <col min="15361" max="15361" width="66.42578125" customWidth="1"/>
    <col min="15617" max="15617" width="66.42578125" customWidth="1"/>
    <col min="15873" max="15873" width="66.42578125" customWidth="1"/>
    <col min="16129" max="16129" width="66.42578125" customWidth="1"/>
  </cols>
  <sheetData>
    <row r="1" spans="1:72" s="58" customFormat="1" x14ac:dyDescent="0.25">
      <c r="A1" s="97" t="s">
        <v>138</v>
      </c>
      <c r="G1" s="57"/>
    </row>
    <row r="2" spans="1:72" x14ac:dyDescent="0.25">
      <c r="A2" s="21"/>
      <c r="B2" s="22"/>
      <c r="C2" s="22"/>
      <c r="D2" s="22"/>
      <c r="E2" s="22"/>
      <c r="F2" s="291" t="s">
        <v>139</v>
      </c>
      <c r="G2" s="292"/>
      <c r="H2" s="23"/>
      <c r="I2" s="22"/>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row>
    <row r="3" spans="1:72" ht="38.25" x14ac:dyDescent="0.25">
      <c r="A3" s="106"/>
      <c r="B3" s="104" t="s">
        <v>13</v>
      </c>
      <c r="C3" s="104" t="s">
        <v>5</v>
      </c>
      <c r="D3" s="104" t="s">
        <v>0</v>
      </c>
      <c r="E3" s="105" t="s">
        <v>81</v>
      </c>
      <c r="F3" s="104" t="s">
        <v>10</v>
      </c>
      <c r="G3" s="104" t="s">
        <v>163</v>
      </c>
      <c r="H3" s="23"/>
      <c r="I3" s="22"/>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row>
    <row r="4" spans="1:72" x14ac:dyDescent="0.25">
      <c r="A4" s="98">
        <v>1949</v>
      </c>
      <c r="B4" s="99">
        <v>-12.7</v>
      </c>
      <c r="C4" s="99">
        <v>-3.8</v>
      </c>
      <c r="D4" s="99">
        <v>-10.5</v>
      </c>
      <c r="E4" s="100">
        <v>10</v>
      </c>
      <c r="F4" s="99">
        <v>9.3000000000000007</v>
      </c>
      <c r="G4" s="99">
        <v>7.2</v>
      </c>
      <c r="H4" s="23"/>
      <c r="I4" s="22"/>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row>
    <row r="5" spans="1:72" x14ac:dyDescent="0.25">
      <c r="A5" s="98">
        <f t="shared" ref="A5:A36" si="0">A4+1</f>
        <v>1950</v>
      </c>
      <c r="B5" s="99">
        <v>-13.3</v>
      </c>
      <c r="C5" s="99">
        <v>-4.2</v>
      </c>
      <c r="D5" s="99">
        <v>-10.7</v>
      </c>
      <c r="E5" s="100">
        <v>10.4</v>
      </c>
      <c r="F5" s="99">
        <v>9.3000000000000007</v>
      </c>
      <c r="G5" s="99">
        <v>7.3</v>
      </c>
      <c r="H5" s="23"/>
      <c r="I5" s="22"/>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row>
    <row r="6" spans="1:72" x14ac:dyDescent="0.25">
      <c r="A6" s="98">
        <f t="shared" si="0"/>
        <v>1951</v>
      </c>
      <c r="B6" s="99">
        <v>-13.8</v>
      </c>
      <c r="C6" s="99">
        <v>-4.0999999999999996</v>
      </c>
      <c r="D6" s="99">
        <v>-10.6</v>
      </c>
      <c r="E6" s="100">
        <v>10.4</v>
      </c>
      <c r="F6" s="99">
        <v>9.4</v>
      </c>
      <c r="G6" s="99">
        <v>7.3</v>
      </c>
      <c r="H6" s="23"/>
      <c r="I6" s="22"/>
    </row>
    <row r="7" spans="1:72" x14ac:dyDescent="0.25">
      <c r="A7" s="98">
        <f t="shared" si="0"/>
        <v>1952</v>
      </c>
      <c r="B7" s="99">
        <v>-14.3</v>
      </c>
      <c r="C7" s="99">
        <v>-4.2</v>
      </c>
      <c r="D7" s="99">
        <v>-11</v>
      </c>
      <c r="E7" s="100">
        <v>10.4</v>
      </c>
      <c r="F7" s="99">
        <v>9.9</v>
      </c>
      <c r="G7" s="99">
        <v>7.8</v>
      </c>
      <c r="H7" s="23"/>
      <c r="I7" s="22"/>
    </row>
    <row r="8" spans="1:72" x14ac:dyDescent="0.25">
      <c r="A8" s="98">
        <f t="shared" si="0"/>
        <v>1953</v>
      </c>
      <c r="B8" s="99">
        <v>-14.3</v>
      </c>
      <c r="C8" s="99">
        <v>-5.0999999999999996</v>
      </c>
      <c r="D8" s="99">
        <v>-11.4</v>
      </c>
      <c r="E8" s="100">
        <v>10.9</v>
      </c>
      <c r="F8" s="99">
        <v>10.199999999999999</v>
      </c>
      <c r="G8" s="99">
        <v>8</v>
      </c>
      <c r="H8" s="23"/>
      <c r="I8" s="22"/>
    </row>
    <row r="9" spans="1:72" x14ac:dyDescent="0.25">
      <c r="A9" s="98">
        <f t="shared" si="0"/>
        <v>1954</v>
      </c>
      <c r="B9" s="99">
        <v>-14</v>
      </c>
      <c r="C9" s="99">
        <v>-4.5</v>
      </c>
      <c r="D9" s="99">
        <v>-11.6</v>
      </c>
      <c r="E9" s="100">
        <v>11.1</v>
      </c>
      <c r="F9" s="99">
        <v>9.9</v>
      </c>
      <c r="G9" s="99">
        <v>7.6</v>
      </c>
      <c r="H9" s="23"/>
      <c r="I9" s="22"/>
    </row>
    <row r="10" spans="1:72" x14ac:dyDescent="0.25">
      <c r="A10" s="98">
        <f t="shared" si="0"/>
        <v>1955</v>
      </c>
      <c r="B10" s="99">
        <v>-13.4</v>
      </c>
      <c r="C10" s="99">
        <v>-4.2</v>
      </c>
      <c r="D10" s="99">
        <v>-11.9</v>
      </c>
      <c r="E10" s="100">
        <v>11.6</v>
      </c>
      <c r="F10" s="99">
        <v>9.6999999999999993</v>
      </c>
      <c r="G10" s="99">
        <v>7.2</v>
      </c>
      <c r="H10" s="23"/>
      <c r="I10" s="22"/>
    </row>
    <row r="11" spans="1:72" x14ac:dyDescent="0.25">
      <c r="A11" s="98">
        <f t="shared" si="0"/>
        <v>1956</v>
      </c>
      <c r="B11" s="99">
        <v>-13.2</v>
      </c>
      <c r="C11" s="99">
        <v>-4.8</v>
      </c>
      <c r="D11" s="99">
        <v>-12.2</v>
      </c>
      <c r="E11" s="100">
        <v>11.6</v>
      </c>
      <c r="F11" s="99">
        <v>10</v>
      </c>
      <c r="G11" s="99">
        <v>7.6</v>
      </c>
      <c r="H11" s="23"/>
      <c r="I11" s="22"/>
    </row>
    <row r="12" spans="1:72" x14ac:dyDescent="0.25">
      <c r="A12" s="98">
        <f t="shared" si="0"/>
        <v>1957</v>
      </c>
      <c r="B12" s="99">
        <v>-13.5</v>
      </c>
      <c r="C12" s="99">
        <v>-4.9000000000000004</v>
      </c>
      <c r="D12" s="99">
        <v>-11.9</v>
      </c>
      <c r="E12" s="100">
        <v>11.5</v>
      </c>
      <c r="F12" s="99">
        <v>9.8000000000000007</v>
      </c>
      <c r="G12" s="99">
        <v>7.4</v>
      </c>
      <c r="H12" s="23"/>
      <c r="I12" s="22"/>
    </row>
    <row r="13" spans="1:72" x14ac:dyDescent="0.25">
      <c r="A13" s="98">
        <f t="shared" si="0"/>
        <v>1958</v>
      </c>
      <c r="B13" s="99">
        <v>-13.8</v>
      </c>
      <c r="C13" s="99">
        <v>-5.5</v>
      </c>
      <c r="D13" s="99">
        <v>-11.9</v>
      </c>
      <c r="E13" s="100">
        <v>11.2</v>
      </c>
      <c r="F13" s="99">
        <v>9.6</v>
      </c>
      <c r="G13" s="99">
        <v>7.2</v>
      </c>
      <c r="H13" s="23"/>
      <c r="I13" s="22"/>
    </row>
    <row r="14" spans="1:72" x14ac:dyDescent="0.25">
      <c r="A14" s="98">
        <f t="shared" si="0"/>
        <v>1959</v>
      </c>
      <c r="B14" s="99">
        <v>-14.6</v>
      </c>
      <c r="C14" s="99">
        <v>-5.7</v>
      </c>
      <c r="D14" s="99">
        <v>-12.3</v>
      </c>
      <c r="E14" s="100">
        <v>11.4</v>
      </c>
      <c r="F14" s="99">
        <v>9.8000000000000007</v>
      </c>
      <c r="G14" s="99">
        <v>7.2</v>
      </c>
      <c r="H14" s="23"/>
      <c r="I14" s="22"/>
    </row>
    <row r="15" spans="1:72" x14ac:dyDescent="0.25">
      <c r="A15" s="98">
        <f t="shared" si="0"/>
        <v>1960</v>
      </c>
      <c r="B15" s="99">
        <v>-14.3</v>
      </c>
      <c r="C15" s="99">
        <v>-5.4</v>
      </c>
      <c r="D15" s="99">
        <v>-12.1</v>
      </c>
      <c r="E15" s="100">
        <v>11.3</v>
      </c>
      <c r="F15" s="99">
        <v>9.5</v>
      </c>
      <c r="G15" s="99">
        <v>6.8</v>
      </c>
      <c r="H15" s="23"/>
      <c r="I15" s="22"/>
    </row>
    <row r="16" spans="1:72" x14ac:dyDescent="0.25">
      <c r="A16" s="98">
        <f t="shared" si="0"/>
        <v>1961</v>
      </c>
      <c r="B16" s="99">
        <v>-14.1</v>
      </c>
      <c r="C16" s="99">
        <v>-5.4</v>
      </c>
      <c r="D16" s="99">
        <v>-13.1</v>
      </c>
      <c r="E16" s="100">
        <v>11.6</v>
      </c>
      <c r="F16" s="99">
        <v>9.8000000000000007</v>
      </c>
      <c r="G16" s="99">
        <v>6.9</v>
      </c>
      <c r="H16" s="23"/>
      <c r="I16" s="22"/>
    </row>
    <row r="17" spans="1:9" x14ac:dyDescent="0.25">
      <c r="A17" s="98">
        <f t="shared" si="0"/>
        <v>1962</v>
      </c>
      <c r="B17" s="99">
        <v>-14.1</v>
      </c>
      <c r="C17" s="99">
        <v>-5</v>
      </c>
      <c r="D17" s="99">
        <v>-13.4</v>
      </c>
      <c r="E17" s="100">
        <v>12.3</v>
      </c>
      <c r="F17" s="99">
        <v>10</v>
      </c>
      <c r="G17" s="99">
        <v>7</v>
      </c>
      <c r="H17" s="23"/>
      <c r="I17" s="22"/>
    </row>
    <row r="18" spans="1:9" x14ac:dyDescent="0.25">
      <c r="A18" s="98">
        <f t="shared" si="0"/>
        <v>1963</v>
      </c>
      <c r="B18" s="99">
        <v>-14.4</v>
      </c>
      <c r="C18" s="99">
        <v>-4.9000000000000004</v>
      </c>
      <c r="D18" s="99">
        <v>-14.1</v>
      </c>
      <c r="E18" s="100">
        <v>12.9</v>
      </c>
      <c r="F18" s="99">
        <v>10.199999999999999</v>
      </c>
      <c r="G18" s="99">
        <v>7.1</v>
      </c>
      <c r="H18" s="23"/>
      <c r="I18" s="22"/>
    </row>
    <row r="19" spans="1:9" x14ac:dyDescent="0.25">
      <c r="A19" s="98">
        <f t="shared" si="0"/>
        <v>1964</v>
      </c>
      <c r="B19" s="99">
        <v>-14.8</v>
      </c>
      <c r="C19" s="99">
        <v>-5.5</v>
      </c>
      <c r="D19" s="99">
        <v>-14.3</v>
      </c>
      <c r="E19" s="100">
        <v>13.1</v>
      </c>
      <c r="F19" s="99">
        <v>10.4</v>
      </c>
      <c r="G19" s="99">
        <v>7</v>
      </c>
      <c r="H19" s="23"/>
      <c r="I19" s="22"/>
    </row>
    <row r="20" spans="1:9" x14ac:dyDescent="0.25">
      <c r="A20" s="98">
        <f t="shared" si="0"/>
        <v>1965</v>
      </c>
      <c r="B20" s="99">
        <v>-14.5</v>
      </c>
      <c r="C20" s="99">
        <v>-5.7</v>
      </c>
      <c r="D20" s="99">
        <v>-14.5</v>
      </c>
      <c r="E20" s="100">
        <v>13.3</v>
      </c>
      <c r="F20" s="99">
        <v>10.5</v>
      </c>
      <c r="G20" s="99">
        <v>6.9</v>
      </c>
      <c r="H20" s="23"/>
      <c r="I20" s="22"/>
    </row>
    <row r="21" spans="1:9" x14ac:dyDescent="0.25">
      <c r="A21" s="98">
        <f t="shared" si="0"/>
        <v>1966</v>
      </c>
      <c r="B21" s="99">
        <v>-14.5</v>
      </c>
      <c r="C21" s="99">
        <v>-5.5</v>
      </c>
      <c r="D21" s="99">
        <v>-14.6</v>
      </c>
      <c r="E21" s="100">
        <v>13.3</v>
      </c>
      <c r="F21" s="99">
        <v>10.6</v>
      </c>
      <c r="G21" s="99">
        <v>6.8</v>
      </c>
      <c r="H21" s="23"/>
      <c r="I21" s="22"/>
    </row>
    <row r="22" spans="1:9" x14ac:dyDescent="0.25">
      <c r="A22" s="98">
        <f t="shared" si="0"/>
        <v>1967</v>
      </c>
      <c r="B22" s="99">
        <v>-14.1</v>
      </c>
      <c r="C22" s="99">
        <v>-5.4</v>
      </c>
      <c r="D22" s="99">
        <v>-14.9</v>
      </c>
      <c r="E22" s="100">
        <v>13.5</v>
      </c>
      <c r="F22" s="99">
        <v>10.7</v>
      </c>
      <c r="G22" s="99">
        <v>6.9</v>
      </c>
      <c r="H22" s="23"/>
      <c r="I22" s="22"/>
    </row>
    <row r="23" spans="1:9" x14ac:dyDescent="0.25">
      <c r="A23" s="98">
        <f t="shared" si="0"/>
        <v>1968</v>
      </c>
      <c r="B23" s="99">
        <v>-13.2</v>
      </c>
      <c r="C23" s="99">
        <v>-5.8</v>
      </c>
      <c r="D23" s="99">
        <v>-15.4</v>
      </c>
      <c r="E23" s="100">
        <v>13.9</v>
      </c>
      <c r="F23" s="99">
        <v>10.8</v>
      </c>
      <c r="G23" s="99">
        <v>7.2</v>
      </c>
      <c r="H23" s="23"/>
      <c r="I23" s="22"/>
    </row>
    <row r="24" spans="1:9" x14ac:dyDescent="0.25">
      <c r="A24" s="98">
        <f t="shared" si="0"/>
        <v>1969</v>
      </c>
      <c r="B24" s="99">
        <v>-13.4</v>
      </c>
      <c r="C24" s="99">
        <v>-6</v>
      </c>
      <c r="D24" s="99">
        <v>-15.6</v>
      </c>
      <c r="E24" s="100">
        <v>13.7</v>
      </c>
      <c r="F24" s="99">
        <v>11.1</v>
      </c>
      <c r="G24" s="99">
        <v>7.1</v>
      </c>
      <c r="H24" s="23"/>
      <c r="I24" s="22"/>
    </row>
    <row r="25" spans="1:9" x14ac:dyDescent="0.25">
      <c r="A25" s="98">
        <f t="shared" si="0"/>
        <v>1970</v>
      </c>
      <c r="B25" s="99">
        <v>-12.7</v>
      </c>
      <c r="C25" s="99">
        <v>-6.3</v>
      </c>
      <c r="D25" s="99">
        <v>-15.6</v>
      </c>
      <c r="E25" s="100">
        <v>13.5</v>
      </c>
      <c r="F25" s="99">
        <v>11.3</v>
      </c>
      <c r="G25" s="99">
        <v>7.2</v>
      </c>
      <c r="H25" s="23"/>
      <c r="I25" s="22"/>
    </row>
    <row r="26" spans="1:9" x14ac:dyDescent="0.25">
      <c r="A26" s="98">
        <f t="shared" si="0"/>
        <v>1971</v>
      </c>
      <c r="B26" s="99">
        <v>-12.7</v>
      </c>
      <c r="C26" s="99">
        <v>-5.9</v>
      </c>
      <c r="D26" s="99">
        <v>-15.7</v>
      </c>
      <c r="E26" s="100">
        <v>13.5</v>
      </c>
      <c r="F26" s="99">
        <v>11.5</v>
      </c>
      <c r="G26" s="99">
        <v>7.3</v>
      </c>
      <c r="H26" s="23"/>
      <c r="I26" s="22"/>
    </row>
    <row r="27" spans="1:9" x14ac:dyDescent="0.25">
      <c r="A27" s="98">
        <f t="shared" si="0"/>
        <v>1972</v>
      </c>
      <c r="B27" s="99">
        <v>-12.8</v>
      </c>
      <c r="C27" s="99">
        <v>-6</v>
      </c>
      <c r="D27" s="99">
        <v>-15.9</v>
      </c>
      <c r="E27" s="100">
        <v>13.7</v>
      </c>
      <c r="F27" s="99">
        <v>11.6</v>
      </c>
      <c r="G27" s="99">
        <v>7.3</v>
      </c>
      <c r="H27" s="23"/>
      <c r="I27" s="22"/>
    </row>
    <row r="28" spans="1:9" x14ac:dyDescent="0.25">
      <c r="A28" s="98">
        <f t="shared" si="0"/>
        <v>1973</v>
      </c>
      <c r="B28" s="99">
        <v>-12.7</v>
      </c>
      <c r="C28" s="99">
        <v>-5.9</v>
      </c>
      <c r="D28" s="99">
        <v>-15.9</v>
      </c>
      <c r="E28" s="100">
        <v>13.7</v>
      </c>
      <c r="F28" s="99">
        <v>11.8</v>
      </c>
      <c r="G28" s="99">
        <v>7.3</v>
      </c>
      <c r="H28" s="23"/>
      <c r="I28" s="22"/>
    </row>
    <row r="29" spans="1:9" x14ac:dyDescent="0.25">
      <c r="A29" s="98">
        <f t="shared" si="0"/>
        <v>1974</v>
      </c>
      <c r="B29" s="99">
        <v>-11.7</v>
      </c>
      <c r="C29" s="99">
        <v>-6.8</v>
      </c>
      <c r="D29" s="99">
        <v>-16.3</v>
      </c>
      <c r="E29" s="100">
        <v>13.9</v>
      </c>
      <c r="F29" s="99">
        <v>12</v>
      </c>
      <c r="G29" s="99">
        <v>7.5</v>
      </c>
      <c r="H29" s="23"/>
      <c r="I29" s="22"/>
    </row>
    <row r="30" spans="1:9" x14ac:dyDescent="0.25">
      <c r="A30" s="98">
        <f t="shared" si="0"/>
        <v>1975</v>
      </c>
      <c r="B30" s="99">
        <v>-12.3</v>
      </c>
      <c r="C30" s="99">
        <v>-6.1</v>
      </c>
      <c r="D30" s="99">
        <v>-17.899999999999999</v>
      </c>
      <c r="E30" s="100">
        <v>15.5</v>
      </c>
      <c r="F30" s="99">
        <v>13</v>
      </c>
      <c r="G30" s="99">
        <v>8.1</v>
      </c>
      <c r="H30" s="23"/>
      <c r="I30" s="22"/>
    </row>
    <row r="31" spans="1:9" x14ac:dyDescent="0.25">
      <c r="A31" s="98">
        <f t="shared" si="0"/>
        <v>1976</v>
      </c>
      <c r="B31" s="99">
        <v>-12.8</v>
      </c>
      <c r="C31" s="99">
        <v>-6.9</v>
      </c>
      <c r="D31" s="99">
        <v>-18.5</v>
      </c>
      <c r="E31" s="100">
        <v>15.4</v>
      </c>
      <c r="F31" s="99">
        <v>13.1</v>
      </c>
      <c r="G31" s="99">
        <v>8.3000000000000007</v>
      </c>
      <c r="H31" s="23"/>
      <c r="I31" s="22"/>
    </row>
    <row r="32" spans="1:9" x14ac:dyDescent="0.25">
      <c r="A32" s="98">
        <f t="shared" si="0"/>
        <v>1977</v>
      </c>
      <c r="B32" s="99">
        <v>-12</v>
      </c>
      <c r="C32" s="99">
        <v>-7</v>
      </c>
      <c r="D32" s="99">
        <v>-19.2</v>
      </c>
      <c r="E32" s="100">
        <v>15.8</v>
      </c>
      <c r="F32" s="99">
        <v>13.2</v>
      </c>
      <c r="G32" s="99">
        <v>8.4</v>
      </c>
      <c r="H32" s="23"/>
      <c r="I32" s="22"/>
    </row>
    <row r="33" spans="1:9" x14ac:dyDescent="0.25">
      <c r="A33" s="98">
        <f t="shared" si="0"/>
        <v>1978</v>
      </c>
      <c r="B33" s="99">
        <v>-12.6</v>
      </c>
      <c r="C33" s="99">
        <v>-6.6</v>
      </c>
      <c r="D33" s="99">
        <v>-19.2</v>
      </c>
      <c r="E33" s="100">
        <v>16.3</v>
      </c>
      <c r="F33" s="99">
        <v>13.6</v>
      </c>
      <c r="G33" s="99">
        <v>8.4</v>
      </c>
      <c r="H33" s="23"/>
      <c r="I33" s="22"/>
    </row>
    <row r="34" spans="1:9" x14ac:dyDescent="0.25">
      <c r="A34" s="98">
        <f t="shared" si="0"/>
        <v>1979</v>
      </c>
      <c r="B34" s="99">
        <v>-13.2</v>
      </c>
      <c r="C34" s="99">
        <v>-6.9</v>
      </c>
      <c r="D34" s="99">
        <v>-20.100000000000001</v>
      </c>
      <c r="E34" s="100">
        <v>16.3</v>
      </c>
      <c r="F34" s="99">
        <v>13.5</v>
      </c>
      <c r="G34" s="99">
        <v>8.3000000000000007</v>
      </c>
      <c r="H34" s="23"/>
      <c r="I34" s="22"/>
    </row>
    <row r="35" spans="1:9" x14ac:dyDescent="0.25">
      <c r="A35" s="98">
        <f t="shared" si="0"/>
        <v>1980</v>
      </c>
      <c r="B35" s="99">
        <v>-12.9</v>
      </c>
      <c r="C35" s="99">
        <v>-7.3</v>
      </c>
      <c r="D35" s="99">
        <v>-20.5</v>
      </c>
      <c r="E35" s="100">
        <v>16.600000000000001</v>
      </c>
      <c r="F35" s="99">
        <v>13.8</v>
      </c>
      <c r="G35" s="99">
        <v>8.6</v>
      </c>
      <c r="H35" s="23"/>
      <c r="I35" s="22"/>
    </row>
    <row r="36" spans="1:9" x14ac:dyDescent="0.25">
      <c r="A36" s="98">
        <f t="shared" si="0"/>
        <v>1981</v>
      </c>
      <c r="B36" s="99">
        <v>-12.9</v>
      </c>
      <c r="C36" s="99">
        <v>-7.4</v>
      </c>
      <c r="D36" s="99">
        <v>-20.5</v>
      </c>
      <c r="E36" s="100">
        <v>17.5</v>
      </c>
      <c r="F36" s="99">
        <v>14.2</v>
      </c>
      <c r="G36" s="99">
        <v>8.9</v>
      </c>
      <c r="H36" s="23"/>
      <c r="I36" s="22"/>
    </row>
    <row r="37" spans="1:9" x14ac:dyDescent="0.25">
      <c r="A37" s="98">
        <f t="shared" ref="A37:A68" si="1">A36+1</f>
        <v>1982</v>
      </c>
      <c r="B37" s="99">
        <v>-13.1</v>
      </c>
      <c r="C37" s="99">
        <v>-7.6</v>
      </c>
      <c r="D37" s="99">
        <v>-21.1</v>
      </c>
      <c r="E37" s="100">
        <v>18.100000000000001</v>
      </c>
      <c r="F37" s="99">
        <v>14.6</v>
      </c>
      <c r="G37" s="99">
        <v>9.1</v>
      </c>
      <c r="H37" s="23"/>
      <c r="I37" s="22"/>
    </row>
    <row r="38" spans="1:9" x14ac:dyDescent="0.25">
      <c r="A38" s="98">
        <f t="shared" si="1"/>
        <v>1983</v>
      </c>
      <c r="B38" s="99">
        <v>-13.2</v>
      </c>
      <c r="C38" s="99">
        <v>-7.8</v>
      </c>
      <c r="D38" s="99">
        <v>-21.6</v>
      </c>
      <c r="E38" s="100">
        <v>18.399999999999999</v>
      </c>
      <c r="F38" s="99">
        <v>14.6</v>
      </c>
      <c r="G38" s="99">
        <v>9.3000000000000007</v>
      </c>
      <c r="H38" s="23"/>
      <c r="I38" s="22"/>
    </row>
    <row r="39" spans="1:9" x14ac:dyDescent="0.25">
      <c r="A39" s="98">
        <f t="shared" si="1"/>
        <v>1984</v>
      </c>
      <c r="B39" s="99">
        <v>-13.1</v>
      </c>
      <c r="C39" s="99">
        <v>-8</v>
      </c>
      <c r="D39" s="99">
        <v>-22</v>
      </c>
      <c r="E39" s="100">
        <v>18.7</v>
      </c>
      <c r="F39" s="99">
        <v>14.8</v>
      </c>
      <c r="G39" s="99">
        <v>9.4</v>
      </c>
      <c r="H39" s="23"/>
      <c r="I39" s="22"/>
    </row>
    <row r="40" spans="1:9" x14ac:dyDescent="0.25">
      <c r="A40" s="98">
        <f t="shared" si="1"/>
        <v>1985</v>
      </c>
      <c r="B40" s="99">
        <v>-13.3</v>
      </c>
      <c r="C40" s="99">
        <v>-7.8</v>
      </c>
      <c r="D40" s="99">
        <v>-22</v>
      </c>
      <c r="E40" s="100">
        <v>18.899999999999999</v>
      </c>
      <c r="F40" s="99">
        <v>14.7</v>
      </c>
      <c r="G40" s="99">
        <v>9.4</v>
      </c>
      <c r="H40" s="23"/>
      <c r="I40" s="22"/>
    </row>
    <row r="41" spans="1:9" x14ac:dyDescent="0.25">
      <c r="A41" s="98">
        <f t="shared" si="1"/>
        <v>1986</v>
      </c>
      <c r="B41" s="99">
        <v>-13</v>
      </c>
      <c r="C41" s="99">
        <v>-7.8</v>
      </c>
      <c r="D41" s="99">
        <v>-21.5</v>
      </c>
      <c r="E41" s="100">
        <v>18.600000000000001</v>
      </c>
      <c r="F41" s="99">
        <v>14.3</v>
      </c>
      <c r="G41" s="99">
        <v>9.1999999999999993</v>
      </c>
      <c r="H41" s="23"/>
      <c r="I41" s="22"/>
    </row>
    <row r="42" spans="1:9" x14ac:dyDescent="0.25">
      <c r="A42" s="98">
        <f t="shared" si="1"/>
        <v>1987</v>
      </c>
      <c r="B42" s="99">
        <v>-13.2</v>
      </c>
      <c r="C42" s="99">
        <v>-7.8</v>
      </c>
      <c r="D42" s="99">
        <v>-21.6</v>
      </c>
      <c r="E42" s="100">
        <v>18.3</v>
      </c>
      <c r="F42" s="99">
        <v>14.2</v>
      </c>
      <c r="G42" s="99">
        <v>9.1</v>
      </c>
      <c r="H42" s="23"/>
      <c r="I42" s="22"/>
    </row>
    <row r="43" spans="1:9" x14ac:dyDescent="0.25">
      <c r="A43" s="98">
        <f t="shared" si="1"/>
        <v>1988</v>
      </c>
      <c r="B43" s="99">
        <v>-13.4</v>
      </c>
      <c r="C43" s="99">
        <v>-7.5</v>
      </c>
      <c r="D43" s="99">
        <v>-21.4</v>
      </c>
      <c r="E43" s="100">
        <v>18.100000000000001</v>
      </c>
      <c r="F43" s="99">
        <v>13.9</v>
      </c>
      <c r="G43" s="99">
        <v>9</v>
      </c>
      <c r="H43" s="23"/>
      <c r="I43" s="22"/>
    </row>
    <row r="44" spans="1:9" x14ac:dyDescent="0.25">
      <c r="A44" s="98">
        <f t="shared" si="1"/>
        <v>1989</v>
      </c>
      <c r="B44" s="99">
        <v>-13.1</v>
      </c>
      <c r="C44" s="99">
        <v>-7.5</v>
      </c>
      <c r="D44" s="99">
        <v>-21.5</v>
      </c>
      <c r="E44" s="100">
        <v>17.8</v>
      </c>
      <c r="F44" s="99">
        <v>13.8</v>
      </c>
      <c r="G44" s="99">
        <v>8.6</v>
      </c>
      <c r="H44" s="23"/>
      <c r="I44" s="22"/>
    </row>
    <row r="45" spans="1:9" x14ac:dyDescent="0.25">
      <c r="A45" s="98">
        <f t="shared" si="1"/>
        <v>1990</v>
      </c>
      <c r="B45" s="99">
        <v>-13.1</v>
      </c>
      <c r="C45" s="99">
        <v>-7.7</v>
      </c>
      <c r="D45" s="99">
        <v>-21.6</v>
      </c>
      <c r="E45" s="100">
        <v>17.899999999999999</v>
      </c>
      <c r="F45" s="99">
        <v>14</v>
      </c>
      <c r="G45" s="99">
        <v>8.4</v>
      </c>
      <c r="H45" s="23"/>
      <c r="I45" s="22"/>
    </row>
    <row r="46" spans="1:9" x14ac:dyDescent="0.25">
      <c r="A46" s="98">
        <f t="shared" si="1"/>
        <v>1991</v>
      </c>
      <c r="B46" s="99">
        <v>-13.1</v>
      </c>
      <c r="C46" s="99">
        <v>-7.9</v>
      </c>
      <c r="D46" s="99">
        <v>-21.7</v>
      </c>
      <c r="E46" s="100">
        <v>18.399999999999999</v>
      </c>
      <c r="F46" s="99">
        <v>14.4</v>
      </c>
      <c r="G46" s="99">
        <v>8.6</v>
      </c>
      <c r="H46" s="23"/>
      <c r="I46" s="22"/>
    </row>
    <row r="47" spans="1:9" x14ac:dyDescent="0.25">
      <c r="A47" s="98">
        <f t="shared" si="1"/>
        <v>1992</v>
      </c>
      <c r="B47" s="99">
        <v>-12.9</v>
      </c>
      <c r="C47" s="99">
        <v>-7.6</v>
      </c>
      <c r="D47" s="99">
        <v>-22</v>
      </c>
      <c r="E47" s="100">
        <v>18.8</v>
      </c>
      <c r="F47" s="99">
        <v>14.9</v>
      </c>
      <c r="G47" s="99">
        <v>8.8000000000000007</v>
      </c>
      <c r="H47" s="23"/>
      <c r="I47" s="22"/>
    </row>
    <row r="48" spans="1:9" x14ac:dyDescent="0.25">
      <c r="A48" s="98">
        <f t="shared" si="1"/>
        <v>1993</v>
      </c>
      <c r="B48" s="99">
        <v>-13.2</v>
      </c>
      <c r="C48" s="99">
        <v>-7.8</v>
      </c>
      <c r="D48" s="99">
        <v>-22.2</v>
      </c>
      <c r="E48" s="100">
        <v>19.600000000000001</v>
      </c>
      <c r="F48" s="99">
        <v>15.5</v>
      </c>
      <c r="G48" s="99">
        <v>9.4</v>
      </c>
      <c r="H48" s="23"/>
      <c r="I48" s="22"/>
    </row>
    <row r="49" spans="1:9" x14ac:dyDescent="0.25">
      <c r="A49" s="98">
        <f t="shared" si="1"/>
        <v>1994</v>
      </c>
      <c r="B49" s="99">
        <v>-13.8</v>
      </c>
      <c r="C49" s="99">
        <v>-7.9</v>
      </c>
      <c r="D49" s="99">
        <v>-22</v>
      </c>
      <c r="E49" s="100">
        <v>19.600000000000001</v>
      </c>
      <c r="F49" s="99">
        <v>15.5</v>
      </c>
      <c r="G49" s="99">
        <v>9.1999999999999993</v>
      </c>
      <c r="H49" s="23"/>
      <c r="I49" s="22"/>
    </row>
    <row r="50" spans="1:9" x14ac:dyDescent="0.25">
      <c r="A50" s="98">
        <f t="shared" si="1"/>
        <v>1995</v>
      </c>
      <c r="B50" s="99">
        <v>-14.1</v>
      </c>
      <c r="C50" s="99">
        <v>-8</v>
      </c>
      <c r="D50" s="99">
        <v>-22</v>
      </c>
      <c r="E50" s="100">
        <v>19.5</v>
      </c>
      <c r="F50" s="99">
        <v>15.9</v>
      </c>
      <c r="G50" s="99">
        <v>8.9</v>
      </c>
      <c r="H50" s="23"/>
      <c r="I50" s="22"/>
    </row>
    <row r="51" spans="1:9" x14ac:dyDescent="0.25">
      <c r="A51" s="98">
        <f t="shared" si="1"/>
        <v>1996</v>
      </c>
      <c r="B51" s="99">
        <v>-14.5</v>
      </c>
      <c r="C51" s="99">
        <v>-8.4</v>
      </c>
      <c r="D51" s="99">
        <v>-22.1</v>
      </c>
      <c r="E51" s="100">
        <v>19.600000000000001</v>
      </c>
      <c r="F51" s="99">
        <v>15.9</v>
      </c>
      <c r="G51" s="99">
        <v>9.1</v>
      </c>
      <c r="H51" s="23"/>
      <c r="I51" s="22"/>
    </row>
    <row r="52" spans="1:9" x14ac:dyDescent="0.25">
      <c r="A52" s="98">
        <f t="shared" si="1"/>
        <v>1997</v>
      </c>
      <c r="B52" s="99">
        <v>-14.6</v>
      </c>
      <c r="C52" s="99">
        <v>-8.9</v>
      </c>
      <c r="D52" s="99">
        <v>-21.5</v>
      </c>
      <c r="E52" s="100">
        <v>19.5</v>
      </c>
      <c r="F52" s="99">
        <v>15.7</v>
      </c>
      <c r="G52" s="99">
        <v>9.1999999999999993</v>
      </c>
      <c r="H52" s="23"/>
      <c r="I52" s="22"/>
    </row>
    <row r="53" spans="1:9" x14ac:dyDescent="0.25">
      <c r="A53" s="98">
        <f t="shared" si="1"/>
        <v>1998</v>
      </c>
      <c r="B53" s="99">
        <v>-14.5</v>
      </c>
      <c r="C53" s="99">
        <v>-11</v>
      </c>
      <c r="D53" s="99">
        <v>-19.399999999999999</v>
      </c>
      <c r="E53" s="100">
        <v>19.100000000000001</v>
      </c>
      <c r="F53" s="99">
        <v>15.5</v>
      </c>
      <c r="G53" s="99">
        <v>8.6</v>
      </c>
      <c r="H53" s="23"/>
      <c r="I53" s="22"/>
    </row>
    <row r="54" spans="1:9" x14ac:dyDescent="0.25">
      <c r="A54" s="98">
        <f t="shared" si="1"/>
        <v>1999</v>
      </c>
      <c r="B54" s="99">
        <v>-14.3</v>
      </c>
      <c r="C54" s="99">
        <v>-11.5</v>
      </c>
      <c r="D54" s="99">
        <v>-19.399999999999999</v>
      </c>
      <c r="E54" s="100">
        <v>18.8</v>
      </c>
      <c r="F54" s="99">
        <v>15.4</v>
      </c>
      <c r="G54" s="99">
        <v>8.6</v>
      </c>
      <c r="H54" s="23"/>
      <c r="I54" s="22"/>
    </row>
    <row r="55" spans="1:9" x14ac:dyDescent="0.25">
      <c r="A55" s="98">
        <f t="shared" si="1"/>
        <v>2000</v>
      </c>
      <c r="B55" s="99">
        <v>-13.8</v>
      </c>
      <c r="C55" s="99">
        <v>-11.6</v>
      </c>
      <c r="D55" s="99">
        <v>-19.2</v>
      </c>
      <c r="E55" s="100">
        <v>18.3</v>
      </c>
      <c r="F55" s="99">
        <v>15.4</v>
      </c>
      <c r="G55" s="99">
        <v>8.4</v>
      </c>
      <c r="H55" s="23"/>
      <c r="I55" s="22"/>
    </row>
    <row r="56" spans="1:9" x14ac:dyDescent="0.25">
      <c r="A56" s="98">
        <f t="shared" si="1"/>
        <v>2001</v>
      </c>
      <c r="B56" s="99">
        <v>-13.3</v>
      </c>
      <c r="C56" s="99">
        <v>-11.8</v>
      </c>
      <c r="D56" s="99">
        <v>-19.3</v>
      </c>
      <c r="E56" s="100">
        <v>18.399999999999999</v>
      </c>
      <c r="F56" s="99">
        <v>15.4</v>
      </c>
      <c r="G56" s="99">
        <v>8.1999999999999993</v>
      </c>
      <c r="H56" s="23"/>
      <c r="I56" s="22"/>
    </row>
    <row r="57" spans="1:9" x14ac:dyDescent="0.25">
      <c r="A57" s="98">
        <f t="shared" si="1"/>
        <v>2002</v>
      </c>
      <c r="B57" s="99">
        <v>-13.3</v>
      </c>
      <c r="C57" s="99">
        <v>-11.1</v>
      </c>
      <c r="D57" s="99">
        <v>-19.600000000000001</v>
      </c>
      <c r="E57" s="100">
        <v>18.8</v>
      </c>
      <c r="F57" s="99">
        <v>16.100000000000001</v>
      </c>
      <c r="G57" s="99">
        <v>8.3000000000000007</v>
      </c>
      <c r="H57" s="23"/>
      <c r="I57" s="22"/>
    </row>
    <row r="58" spans="1:9" x14ac:dyDescent="0.25">
      <c r="A58" s="98">
        <f t="shared" si="1"/>
        <v>2003</v>
      </c>
      <c r="B58" s="99">
        <v>-13.2</v>
      </c>
      <c r="C58" s="99">
        <v>-10.7</v>
      </c>
      <c r="D58" s="99">
        <v>-19.8</v>
      </c>
      <c r="E58" s="100">
        <v>19.100000000000001</v>
      </c>
      <c r="F58" s="99">
        <v>16.399999999999999</v>
      </c>
      <c r="G58" s="99">
        <v>8.1999999999999993</v>
      </c>
      <c r="H58" s="23"/>
      <c r="I58" s="22"/>
    </row>
    <row r="59" spans="1:9" x14ac:dyDescent="0.25">
      <c r="A59" s="98">
        <f t="shared" si="1"/>
        <v>2004</v>
      </c>
      <c r="B59" s="99">
        <v>-13.5</v>
      </c>
      <c r="C59" s="99">
        <v>-10.8</v>
      </c>
      <c r="D59" s="99">
        <v>-19.600000000000001</v>
      </c>
      <c r="E59" s="100">
        <v>19.100000000000001</v>
      </c>
      <c r="F59" s="99">
        <v>16.3</v>
      </c>
      <c r="G59" s="99">
        <v>8.1999999999999993</v>
      </c>
      <c r="H59" s="23"/>
      <c r="I59" s="22"/>
    </row>
    <row r="60" spans="1:9" x14ac:dyDescent="0.25">
      <c r="A60" s="98">
        <f t="shared" si="1"/>
        <v>2005</v>
      </c>
      <c r="B60" s="99">
        <v>-13.7</v>
      </c>
      <c r="C60" s="99">
        <v>-11</v>
      </c>
      <c r="D60" s="99">
        <v>-19.600000000000001</v>
      </c>
      <c r="E60" s="100">
        <v>19.100000000000001</v>
      </c>
      <c r="F60" s="99">
        <v>16.3</v>
      </c>
      <c r="G60" s="99">
        <v>8.1</v>
      </c>
      <c r="H60" s="23"/>
      <c r="I60" s="22"/>
    </row>
    <row r="61" spans="1:9" x14ac:dyDescent="0.25">
      <c r="A61" s="98">
        <f t="shared" si="1"/>
        <v>2006</v>
      </c>
      <c r="B61" s="99">
        <v>-13.5</v>
      </c>
      <c r="C61" s="99">
        <v>-11.5</v>
      </c>
      <c r="D61" s="99">
        <v>-19.600000000000001</v>
      </c>
      <c r="E61" s="100">
        <v>19</v>
      </c>
      <c r="F61" s="99">
        <v>16.100000000000001</v>
      </c>
      <c r="G61" s="99">
        <v>8</v>
      </c>
      <c r="H61" s="23"/>
      <c r="I61" s="22"/>
    </row>
    <row r="62" spans="1:9" x14ac:dyDescent="0.25">
      <c r="A62" s="98">
        <f t="shared" si="1"/>
        <v>2007</v>
      </c>
      <c r="B62" s="99">
        <v>-13.3</v>
      </c>
      <c r="C62" s="99">
        <v>-11.3</v>
      </c>
      <c r="D62" s="99">
        <v>-19.3</v>
      </c>
      <c r="E62" s="100">
        <v>18.899999999999999</v>
      </c>
      <c r="F62" s="99">
        <v>16</v>
      </c>
      <c r="G62" s="99">
        <v>7.8</v>
      </c>
      <c r="H62" s="23"/>
      <c r="I62" s="22"/>
    </row>
    <row r="63" spans="1:9" x14ac:dyDescent="0.25">
      <c r="A63" s="98">
        <f t="shared" si="1"/>
        <v>2008</v>
      </c>
      <c r="B63" s="99">
        <v>-13</v>
      </c>
      <c r="C63" s="99">
        <v>-11.5</v>
      </c>
      <c r="D63" s="99">
        <v>-19.3</v>
      </c>
      <c r="E63" s="100">
        <v>19</v>
      </c>
      <c r="F63" s="99">
        <v>16.100000000000001</v>
      </c>
      <c r="G63" s="99">
        <v>7.8</v>
      </c>
      <c r="H63" s="23"/>
      <c r="I63" s="22"/>
    </row>
    <row r="64" spans="1:9" x14ac:dyDescent="0.25">
      <c r="A64" s="98">
        <f t="shared" si="1"/>
        <v>2009</v>
      </c>
      <c r="B64" s="99">
        <v>-12.9</v>
      </c>
      <c r="C64" s="99">
        <v>-10.199999999999999</v>
      </c>
      <c r="D64" s="99">
        <v>-20.100000000000001</v>
      </c>
      <c r="E64" s="100">
        <v>20.6</v>
      </c>
      <c r="F64" s="99">
        <v>17.100000000000001</v>
      </c>
      <c r="G64" s="99">
        <v>8.3000000000000007</v>
      </c>
      <c r="H64" s="23"/>
      <c r="I64" s="22"/>
    </row>
    <row r="65" spans="1:9" x14ac:dyDescent="0.25">
      <c r="A65" s="98">
        <f t="shared" si="1"/>
        <v>2010</v>
      </c>
      <c r="B65" s="99">
        <v>-12.6</v>
      </c>
      <c r="C65" s="99">
        <v>-10.7</v>
      </c>
      <c r="D65" s="99">
        <v>-19.899999999999999</v>
      </c>
      <c r="E65" s="100">
        <v>20.6</v>
      </c>
      <c r="F65" s="99">
        <v>17.100000000000001</v>
      </c>
      <c r="G65" s="99">
        <v>8.1999999999999993</v>
      </c>
      <c r="H65" s="23"/>
      <c r="I65" s="22"/>
    </row>
    <row r="66" spans="1:9" x14ac:dyDescent="0.25">
      <c r="A66" s="98">
        <f t="shared" si="1"/>
        <v>2011</v>
      </c>
      <c r="B66" s="99">
        <v>-13.1</v>
      </c>
      <c r="C66" s="99">
        <v>-11.2</v>
      </c>
      <c r="D66" s="99">
        <v>-19.899999999999999</v>
      </c>
      <c r="E66" s="100">
        <v>20.399999999999999</v>
      </c>
      <c r="F66" s="99">
        <v>16.899999999999999</v>
      </c>
      <c r="G66" s="99">
        <v>8.1999999999999993</v>
      </c>
      <c r="H66" s="23"/>
      <c r="I66" s="22"/>
    </row>
    <row r="67" spans="1:9" x14ac:dyDescent="0.25">
      <c r="A67" s="98">
        <f t="shared" si="1"/>
        <v>2012</v>
      </c>
      <c r="B67" s="99">
        <v>-13.3</v>
      </c>
      <c r="C67" s="99">
        <v>-11.9</v>
      </c>
      <c r="D67" s="99">
        <v>-20.3</v>
      </c>
      <c r="E67" s="100">
        <v>20.9</v>
      </c>
      <c r="F67" s="99">
        <v>17.100000000000001</v>
      </c>
      <c r="G67" s="99">
        <v>8.3000000000000007</v>
      </c>
      <c r="H67" s="23"/>
      <c r="I67" s="22"/>
    </row>
    <row r="68" spans="1:9" x14ac:dyDescent="0.25">
      <c r="A68" s="98">
        <f t="shared" si="1"/>
        <v>2013</v>
      </c>
      <c r="B68" s="99">
        <v>-13.5</v>
      </c>
      <c r="C68" s="99">
        <v>-12.4</v>
      </c>
      <c r="D68" s="99">
        <v>-20.6</v>
      </c>
      <c r="E68" s="100">
        <v>21.2</v>
      </c>
      <c r="F68" s="99">
        <v>17.2</v>
      </c>
      <c r="G68" s="99">
        <v>8.4</v>
      </c>
      <c r="H68" s="23"/>
      <c r="I68" s="22"/>
    </row>
    <row r="69" spans="1:9" x14ac:dyDescent="0.25">
      <c r="A69" s="98">
        <f t="shared" ref="A69:A74" si="2">A68+1</f>
        <v>2014</v>
      </c>
      <c r="B69" s="99">
        <v>-13.2</v>
      </c>
      <c r="C69" s="99">
        <v>-12.3</v>
      </c>
      <c r="D69" s="99">
        <v>-20.9</v>
      </c>
      <c r="E69" s="100">
        <v>21.4</v>
      </c>
      <c r="F69" s="99">
        <v>17.399999999999999</v>
      </c>
      <c r="G69" s="99">
        <v>8.3000000000000007</v>
      </c>
    </row>
    <row r="70" spans="1:9" x14ac:dyDescent="0.25">
      <c r="A70" s="98">
        <f t="shared" si="2"/>
        <v>2015</v>
      </c>
      <c r="B70" s="99">
        <v>-13</v>
      </c>
      <c r="C70" s="99">
        <v>-12.2</v>
      </c>
      <c r="D70" s="99">
        <v>-20.7</v>
      </c>
      <c r="E70" s="100">
        <v>21.3</v>
      </c>
      <c r="F70" s="99">
        <v>17.3</v>
      </c>
      <c r="G70" s="99">
        <v>8.1</v>
      </c>
    </row>
    <row r="71" spans="1:9" x14ac:dyDescent="0.25">
      <c r="A71" s="98">
        <f t="shared" si="2"/>
        <v>2016</v>
      </c>
      <c r="B71" s="99">
        <v>-13.2</v>
      </c>
      <c r="C71" s="99">
        <v>-12.1</v>
      </c>
      <c r="D71" s="99">
        <v>-20.7</v>
      </c>
      <c r="E71" s="100">
        <v>21.3</v>
      </c>
      <c r="F71" s="99">
        <v>17.3</v>
      </c>
      <c r="G71" s="99">
        <v>8</v>
      </c>
    </row>
    <row r="72" spans="1:9" x14ac:dyDescent="0.25">
      <c r="A72" s="98">
        <f t="shared" si="2"/>
        <v>2017</v>
      </c>
      <c r="B72" s="99">
        <v>-13.4</v>
      </c>
      <c r="C72" s="99">
        <v>-12.4</v>
      </c>
      <c r="D72" s="99">
        <v>-20.6</v>
      </c>
      <c r="E72" s="100">
        <v>21</v>
      </c>
      <c r="F72" s="99">
        <v>17.2</v>
      </c>
      <c r="G72" s="99">
        <v>8</v>
      </c>
    </row>
    <row r="73" spans="1:9" x14ac:dyDescent="0.25">
      <c r="A73" s="98">
        <f t="shared" si="2"/>
        <v>2018</v>
      </c>
      <c r="B73" s="99">
        <v>-13.5</v>
      </c>
      <c r="C73" s="99">
        <v>-12.8</v>
      </c>
      <c r="D73" s="99">
        <v>-19.8</v>
      </c>
      <c r="E73" s="100">
        <v>20.9</v>
      </c>
      <c r="F73" s="99">
        <v>16.899999999999999</v>
      </c>
      <c r="G73" s="99">
        <v>7.9</v>
      </c>
    </row>
    <row r="74" spans="1:9" x14ac:dyDescent="0.25">
      <c r="A74" s="101">
        <f t="shared" si="2"/>
        <v>2019</v>
      </c>
      <c r="B74" s="102">
        <v>-13.7</v>
      </c>
      <c r="C74" s="102">
        <v>-12.6</v>
      </c>
      <c r="D74" s="102">
        <v>-18.8</v>
      </c>
      <c r="E74" s="103">
        <v>21</v>
      </c>
      <c r="F74" s="102">
        <v>16.8</v>
      </c>
      <c r="G74" s="102">
        <v>7.9</v>
      </c>
    </row>
    <row r="75" spans="1:9" ht="30.75" customHeight="1" x14ac:dyDescent="0.25">
      <c r="A75" s="287" t="s">
        <v>105</v>
      </c>
      <c r="B75" s="287"/>
      <c r="C75" s="287"/>
      <c r="D75" s="287"/>
      <c r="E75" s="287"/>
      <c r="F75" s="288"/>
      <c r="G75" s="288"/>
    </row>
    <row r="76" spans="1:9" x14ac:dyDescent="0.25">
      <c r="A76" s="289" t="s">
        <v>38</v>
      </c>
      <c r="B76" s="290"/>
      <c r="C76" s="290"/>
      <c r="D76" s="290"/>
      <c r="E76" s="290"/>
      <c r="F76" s="290"/>
      <c r="G76" s="290"/>
    </row>
    <row r="77" spans="1:9" x14ac:dyDescent="0.25">
      <c r="A77" s="19" t="s">
        <v>82</v>
      </c>
      <c r="B77" s="20"/>
      <c r="C77" s="20"/>
      <c r="D77" s="20"/>
      <c r="E77" s="20"/>
    </row>
    <row r="78" spans="1:9" x14ac:dyDescent="0.25">
      <c r="A78" s="20" t="s">
        <v>39</v>
      </c>
      <c r="B78" s="20"/>
      <c r="C78" s="20"/>
      <c r="D78" s="20"/>
      <c r="E78" s="20"/>
    </row>
  </sheetData>
  <mergeCells count="3">
    <mergeCell ref="A75:G75"/>
    <mergeCell ref="A76:G76"/>
    <mergeCell ref="F2:G2"/>
  </mergeCells>
  <pageMargins left="0.7" right="0.7" top="0.75" bottom="0.75" header="0.3" footer="0.3"/>
  <pageSetup paperSize="9" scale="9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34"/>
  <sheetViews>
    <sheetView workbookViewId="0"/>
  </sheetViews>
  <sheetFormatPr baseColWidth="10" defaultRowHeight="15" x14ac:dyDescent="0.25"/>
  <cols>
    <col min="1" max="1" width="39.140625" customWidth="1"/>
    <col min="2" max="2" width="11.7109375" customWidth="1"/>
    <col min="3" max="3" width="11.42578125" customWidth="1"/>
    <col min="4" max="12" width="8.7109375" customWidth="1"/>
    <col min="13" max="13" width="10" customWidth="1"/>
  </cols>
  <sheetData>
    <row r="1" spans="1:27" s="56" customFormat="1" x14ac:dyDescent="0.25">
      <c r="A1" s="97" t="s">
        <v>215</v>
      </c>
      <c r="B1" s="33"/>
      <c r="C1" s="33"/>
      <c r="D1" s="33"/>
      <c r="E1" s="33"/>
      <c r="F1" s="63"/>
      <c r="G1" s="64"/>
      <c r="H1" s="64"/>
      <c r="I1" s="64"/>
      <c r="J1" s="64"/>
      <c r="K1" s="33"/>
      <c r="L1" s="33"/>
      <c r="M1" s="33"/>
      <c r="N1" s="33"/>
      <c r="O1" s="33"/>
    </row>
    <row r="2" spans="1:27" s="56" customFormat="1" x14ac:dyDescent="0.25">
      <c r="A2" s="61"/>
      <c r="B2" s="60"/>
      <c r="C2" s="60"/>
      <c r="D2" s="33"/>
      <c r="E2" s="33"/>
      <c r="F2" s="59"/>
      <c r="G2" s="59"/>
      <c r="H2" s="59"/>
      <c r="I2" s="59"/>
      <c r="J2" s="59"/>
      <c r="K2" s="59"/>
      <c r="L2" s="59"/>
      <c r="M2" s="33"/>
      <c r="N2" s="33"/>
      <c r="O2" s="33"/>
    </row>
    <row r="3" spans="1:27" s="56" customFormat="1" ht="15" customHeight="1" x14ac:dyDescent="0.25">
      <c r="A3" s="62"/>
      <c r="B3" s="298" t="s">
        <v>64</v>
      </c>
      <c r="C3" s="299"/>
      <c r="D3" s="295" t="s">
        <v>77</v>
      </c>
      <c r="E3" s="296"/>
      <c r="F3" s="296"/>
      <c r="G3" s="296"/>
      <c r="H3" s="296"/>
      <c r="I3" s="296"/>
      <c r="J3" s="296"/>
      <c r="K3" s="296"/>
      <c r="L3" s="296"/>
      <c r="M3" s="297"/>
      <c r="N3" s="31"/>
      <c r="O3" s="33"/>
    </row>
    <row r="4" spans="1:27" ht="27.75" customHeight="1" x14ac:dyDescent="0.25">
      <c r="A4" s="24"/>
      <c r="B4" s="45" t="s">
        <v>26</v>
      </c>
      <c r="C4" s="45" t="s">
        <v>23</v>
      </c>
      <c r="D4" s="206" t="s">
        <v>211</v>
      </c>
      <c r="E4" s="207" t="s">
        <v>65</v>
      </c>
      <c r="F4" s="207" t="s">
        <v>66</v>
      </c>
      <c r="G4" s="207" t="s">
        <v>67</v>
      </c>
      <c r="H4" s="207" t="s">
        <v>68</v>
      </c>
      <c r="I4" s="207" t="s">
        <v>69</v>
      </c>
      <c r="J4" s="207" t="s">
        <v>70</v>
      </c>
      <c r="K4" s="207" t="s">
        <v>71</v>
      </c>
      <c r="L4" s="94" t="s">
        <v>72</v>
      </c>
      <c r="M4" s="95" t="s">
        <v>73</v>
      </c>
      <c r="N4" s="18"/>
      <c r="O4" s="33"/>
      <c r="P4" s="33"/>
      <c r="Q4" s="56"/>
      <c r="R4" s="56"/>
      <c r="S4" s="56"/>
      <c r="T4" s="56"/>
      <c r="U4" s="56"/>
      <c r="V4" s="56"/>
      <c r="W4" s="56"/>
      <c r="X4" s="56"/>
      <c r="Y4" s="56"/>
      <c r="Z4" s="56"/>
      <c r="AA4" s="56"/>
    </row>
    <row r="5" spans="1:27" ht="17.25" customHeight="1" x14ac:dyDescent="0.25">
      <c r="A5" s="210" t="s">
        <v>27</v>
      </c>
      <c r="B5" s="107">
        <v>1982.3</v>
      </c>
      <c r="C5" s="108">
        <v>42820</v>
      </c>
      <c r="D5" s="109">
        <v>2.4</v>
      </c>
      <c r="E5" s="109">
        <v>3.7</v>
      </c>
      <c r="F5" s="109">
        <v>5</v>
      </c>
      <c r="G5" s="109">
        <v>6.1</v>
      </c>
      <c r="H5" s="109">
        <v>7.3</v>
      </c>
      <c r="I5" s="109">
        <v>8.5</v>
      </c>
      <c r="J5" s="109">
        <v>9.8000000000000007</v>
      </c>
      <c r="K5" s="109">
        <v>11.6</v>
      </c>
      <c r="L5" s="109">
        <v>14.3</v>
      </c>
      <c r="M5" s="110">
        <v>31.5</v>
      </c>
      <c r="N5" s="18"/>
      <c r="O5" s="91"/>
      <c r="P5" s="91"/>
      <c r="Q5" s="91"/>
      <c r="R5" s="56"/>
      <c r="S5" s="56"/>
      <c r="T5" s="56"/>
      <c r="U5" s="56"/>
      <c r="V5" s="56"/>
      <c r="W5" s="56"/>
      <c r="X5" s="56"/>
      <c r="Y5" s="56"/>
      <c r="Z5" s="56"/>
      <c r="AA5" s="56"/>
    </row>
    <row r="6" spans="1:27" x14ac:dyDescent="0.25">
      <c r="A6" s="194" t="s">
        <v>52</v>
      </c>
      <c r="B6" s="27">
        <v>1252.8</v>
      </c>
      <c r="C6" s="37">
        <v>27060</v>
      </c>
      <c r="D6" s="208">
        <v>1.7</v>
      </c>
      <c r="E6" s="208">
        <v>3.5</v>
      </c>
      <c r="F6" s="208">
        <v>5</v>
      </c>
      <c r="G6" s="208">
        <v>6.6</v>
      </c>
      <c r="H6" s="208">
        <v>8.1</v>
      </c>
      <c r="I6" s="208">
        <v>9.4</v>
      </c>
      <c r="J6" s="208">
        <v>11</v>
      </c>
      <c r="K6" s="208">
        <v>13.1</v>
      </c>
      <c r="L6" s="208">
        <v>15.7</v>
      </c>
      <c r="M6" s="209">
        <v>25.9</v>
      </c>
      <c r="N6" s="18"/>
      <c r="O6" s="91"/>
      <c r="P6" s="91"/>
      <c r="Q6" s="91"/>
      <c r="R6" s="91"/>
      <c r="S6" s="91"/>
      <c r="T6" s="91"/>
      <c r="U6" s="91"/>
      <c r="V6" s="91"/>
      <c r="W6" s="91"/>
      <c r="X6" s="56"/>
      <c r="Y6" s="56"/>
      <c r="Z6" s="56"/>
      <c r="AA6" s="56"/>
    </row>
    <row r="7" spans="1:27" x14ac:dyDescent="0.25">
      <c r="A7" s="195" t="s">
        <v>165</v>
      </c>
      <c r="B7" s="27">
        <v>428.4</v>
      </c>
      <c r="C7" s="37">
        <v>9250</v>
      </c>
      <c r="D7" s="208">
        <v>1.8</v>
      </c>
      <c r="E7" s="208">
        <v>2.2000000000000002</v>
      </c>
      <c r="F7" s="208">
        <v>3.1</v>
      </c>
      <c r="G7" s="208">
        <v>3.5</v>
      </c>
      <c r="H7" s="208">
        <v>4</v>
      </c>
      <c r="I7" s="208">
        <v>4.7</v>
      </c>
      <c r="J7" s="208">
        <v>5.8</v>
      </c>
      <c r="K7" s="208">
        <v>7.2</v>
      </c>
      <c r="L7" s="208">
        <v>10.5</v>
      </c>
      <c r="M7" s="209">
        <v>57.3</v>
      </c>
      <c r="N7" s="18"/>
      <c r="O7" s="33"/>
      <c r="P7" s="33"/>
      <c r="Q7" s="56"/>
      <c r="R7" s="56"/>
      <c r="S7" s="56"/>
      <c r="T7" s="56"/>
      <c r="U7" s="33"/>
      <c r="V7" s="56"/>
      <c r="W7" s="56"/>
      <c r="X7" s="56"/>
      <c r="Y7" s="56"/>
      <c r="Z7" s="56"/>
      <c r="AA7" s="56"/>
    </row>
    <row r="8" spans="1:27" x14ac:dyDescent="0.25">
      <c r="A8" s="111" t="s">
        <v>140</v>
      </c>
      <c r="B8" s="112">
        <v>-324.89999999999998</v>
      </c>
      <c r="C8" s="113">
        <v>-7020</v>
      </c>
      <c r="D8" s="109">
        <v>5.8</v>
      </c>
      <c r="E8" s="109">
        <v>6.6</v>
      </c>
      <c r="F8" s="109">
        <v>7.3</v>
      </c>
      <c r="G8" s="109">
        <v>8.1</v>
      </c>
      <c r="H8" s="109">
        <v>9</v>
      </c>
      <c r="I8" s="109">
        <v>9.6</v>
      </c>
      <c r="J8" s="109">
        <v>10.3</v>
      </c>
      <c r="K8" s="109">
        <v>11.5</v>
      </c>
      <c r="L8" s="109">
        <v>13.6</v>
      </c>
      <c r="M8" s="110">
        <v>18.399999999999999</v>
      </c>
      <c r="N8" s="18"/>
      <c r="O8" s="33"/>
      <c r="P8" s="33"/>
      <c r="Q8" s="33"/>
      <c r="R8" s="33"/>
      <c r="S8" s="33"/>
      <c r="T8" s="33"/>
      <c r="U8" s="56"/>
      <c r="V8" s="56"/>
      <c r="W8" s="56"/>
      <c r="X8" s="56"/>
      <c r="Y8" s="56"/>
      <c r="Z8" s="56"/>
      <c r="AA8" s="56"/>
    </row>
    <row r="9" spans="1:27" x14ac:dyDescent="0.25">
      <c r="A9" s="194" t="s">
        <v>51</v>
      </c>
      <c r="B9" s="92">
        <v>-62.2</v>
      </c>
      <c r="C9" s="37">
        <v>-1340</v>
      </c>
      <c r="D9" s="208">
        <v>2.5</v>
      </c>
      <c r="E9" s="208">
        <v>3.5</v>
      </c>
      <c r="F9" s="208">
        <v>5</v>
      </c>
      <c r="G9" s="208">
        <v>6</v>
      </c>
      <c r="H9" s="208">
        <v>7.6</v>
      </c>
      <c r="I9" s="208">
        <v>8.9</v>
      </c>
      <c r="J9" s="208">
        <v>10.6</v>
      </c>
      <c r="K9" s="208">
        <v>12.7</v>
      </c>
      <c r="L9" s="208">
        <v>16.2</v>
      </c>
      <c r="M9" s="209">
        <v>27.1</v>
      </c>
      <c r="N9" s="18"/>
      <c r="O9" s="33"/>
      <c r="P9" s="33"/>
      <c r="Q9" s="56"/>
      <c r="R9" s="56"/>
      <c r="S9" s="56"/>
      <c r="T9" s="56"/>
      <c r="U9" s="56"/>
      <c r="V9" s="56"/>
      <c r="W9" s="56"/>
      <c r="X9" s="56"/>
      <c r="Y9" s="56"/>
      <c r="Z9" s="56"/>
      <c r="AA9" s="56"/>
    </row>
    <row r="10" spans="1:27" x14ac:dyDescent="0.25">
      <c r="A10" s="195" t="s">
        <v>53</v>
      </c>
      <c r="B10" s="92">
        <v>-217.3</v>
      </c>
      <c r="C10" s="37">
        <v>-4690</v>
      </c>
      <c r="D10" s="208">
        <v>6.3</v>
      </c>
      <c r="E10" s="208">
        <v>7</v>
      </c>
      <c r="F10" s="208">
        <v>7.7</v>
      </c>
      <c r="G10" s="208">
        <v>8.4</v>
      </c>
      <c r="H10" s="208">
        <v>9.1999999999999993</v>
      </c>
      <c r="I10" s="208">
        <v>9.6</v>
      </c>
      <c r="J10" s="208">
        <v>10.199999999999999</v>
      </c>
      <c r="K10" s="208">
        <v>11.3</v>
      </c>
      <c r="L10" s="208">
        <v>13.3</v>
      </c>
      <c r="M10" s="209">
        <v>17.100000000000001</v>
      </c>
      <c r="N10" s="18"/>
      <c r="O10" s="33"/>
      <c r="P10" s="33"/>
      <c r="Q10" s="33"/>
      <c r="R10" s="33"/>
      <c r="S10" s="56"/>
      <c r="T10" s="56"/>
      <c r="U10" s="56"/>
      <c r="V10" s="56"/>
      <c r="W10" s="56"/>
      <c r="X10" s="56"/>
      <c r="Y10" s="56"/>
      <c r="Z10" s="56"/>
      <c r="AA10" s="56"/>
    </row>
    <row r="11" spans="1:27" x14ac:dyDescent="0.25">
      <c r="A11" s="111" t="s">
        <v>141</v>
      </c>
      <c r="B11" s="112">
        <v>-308</v>
      </c>
      <c r="C11" s="113">
        <v>-6650</v>
      </c>
      <c r="D11" s="109">
        <v>0.8</v>
      </c>
      <c r="E11" s="109">
        <v>1.5</v>
      </c>
      <c r="F11" s="109">
        <v>2.4</v>
      </c>
      <c r="G11" s="109">
        <v>3.5</v>
      </c>
      <c r="H11" s="109">
        <v>4.5</v>
      </c>
      <c r="I11" s="109">
        <v>5.5</v>
      </c>
      <c r="J11" s="109">
        <v>7.2</v>
      </c>
      <c r="K11" s="109">
        <v>9.6999999999999993</v>
      </c>
      <c r="L11" s="109">
        <v>13.7</v>
      </c>
      <c r="M11" s="110">
        <v>51.1</v>
      </c>
      <c r="N11" s="18"/>
      <c r="O11" s="33"/>
      <c r="P11" s="33"/>
      <c r="Q11" s="56"/>
      <c r="R11" s="56"/>
      <c r="S11" s="56"/>
      <c r="T11" s="56"/>
      <c r="U11" s="56"/>
      <c r="V11" s="56"/>
      <c r="W11" s="56"/>
      <c r="X11" s="56"/>
      <c r="Y11" s="56"/>
      <c r="Z11" s="56"/>
      <c r="AA11" s="56"/>
    </row>
    <row r="12" spans="1:27" x14ac:dyDescent="0.25">
      <c r="A12" s="194" t="s">
        <v>50</v>
      </c>
      <c r="B12" s="92">
        <v>-125.3</v>
      </c>
      <c r="C12" s="37">
        <v>-2710</v>
      </c>
      <c r="D12" s="208">
        <v>1</v>
      </c>
      <c r="E12" s="208">
        <v>2.5</v>
      </c>
      <c r="F12" s="208">
        <v>4.2</v>
      </c>
      <c r="G12" s="208">
        <v>6.1</v>
      </c>
      <c r="H12" s="208">
        <v>7.7</v>
      </c>
      <c r="I12" s="208">
        <v>9.1</v>
      </c>
      <c r="J12" s="208">
        <v>10.5</v>
      </c>
      <c r="K12" s="208">
        <v>12.6</v>
      </c>
      <c r="L12" s="208">
        <v>15.9</v>
      </c>
      <c r="M12" s="209">
        <v>30.3</v>
      </c>
      <c r="N12" s="18"/>
      <c r="O12" s="33"/>
      <c r="P12" s="33"/>
      <c r="Q12" s="56"/>
      <c r="R12" s="56"/>
      <c r="S12" s="56"/>
      <c r="T12" s="56"/>
      <c r="U12" s="56"/>
      <c r="V12" s="56"/>
      <c r="W12" s="56"/>
      <c r="X12" s="56"/>
      <c r="Y12" s="56"/>
      <c r="Z12" s="56"/>
      <c r="AA12" s="56"/>
    </row>
    <row r="13" spans="1:27" x14ac:dyDescent="0.25">
      <c r="A13" s="195" t="s">
        <v>83</v>
      </c>
      <c r="B13" s="92">
        <v>-83</v>
      </c>
      <c r="C13" s="37">
        <v>-1790</v>
      </c>
      <c r="D13" s="208">
        <v>0.4</v>
      </c>
      <c r="E13" s="208">
        <v>0.2</v>
      </c>
      <c r="F13" s="208">
        <v>0.2</v>
      </c>
      <c r="G13" s="208">
        <v>0.7</v>
      </c>
      <c r="H13" s="208">
        <v>1.5</v>
      </c>
      <c r="I13" s="208">
        <v>2.9</v>
      </c>
      <c r="J13" s="208">
        <v>5.7</v>
      </c>
      <c r="K13" s="208">
        <v>10.1</v>
      </c>
      <c r="L13" s="208">
        <v>17</v>
      </c>
      <c r="M13" s="209">
        <v>61.2</v>
      </c>
      <c r="N13" s="18"/>
      <c r="O13" s="33"/>
      <c r="P13" s="33"/>
      <c r="Q13" s="56"/>
      <c r="R13" s="56"/>
      <c r="S13" s="56"/>
      <c r="T13" s="56"/>
      <c r="U13" s="56"/>
      <c r="V13" s="56"/>
      <c r="W13" s="56"/>
      <c r="X13" s="56"/>
      <c r="Y13" s="56"/>
      <c r="Z13" s="56"/>
      <c r="AA13" s="56"/>
    </row>
    <row r="14" spans="1:27" x14ac:dyDescent="0.25">
      <c r="A14" s="195" t="s">
        <v>84</v>
      </c>
      <c r="B14" s="92">
        <v>-59.6</v>
      </c>
      <c r="C14" s="37">
        <v>-1290</v>
      </c>
      <c r="D14" s="208">
        <v>0.4</v>
      </c>
      <c r="E14" s="208">
        <v>0.5</v>
      </c>
      <c r="F14" s="208">
        <v>0.4</v>
      </c>
      <c r="G14" s="208">
        <v>0.3</v>
      </c>
      <c r="H14" s="208">
        <v>0.4</v>
      </c>
      <c r="I14" s="208">
        <v>0.5</v>
      </c>
      <c r="J14" s="208">
        <v>1.2</v>
      </c>
      <c r="K14" s="208">
        <v>2.2999999999999998</v>
      </c>
      <c r="L14" s="208">
        <v>3.4</v>
      </c>
      <c r="M14" s="209">
        <v>90.5</v>
      </c>
      <c r="N14" s="18"/>
      <c r="O14" s="33"/>
      <c r="P14" s="33"/>
      <c r="Q14" s="56"/>
      <c r="R14" s="56"/>
      <c r="S14" s="56"/>
      <c r="T14" s="56"/>
      <c r="U14" s="56"/>
      <c r="V14" s="56"/>
      <c r="W14" s="56"/>
      <c r="X14" s="56"/>
      <c r="Y14" s="56"/>
      <c r="Z14" s="56"/>
      <c r="AA14" s="56"/>
    </row>
    <row r="15" spans="1:27" x14ac:dyDescent="0.25">
      <c r="A15" s="111" t="s">
        <v>216</v>
      </c>
      <c r="B15" s="112">
        <v>-478.6</v>
      </c>
      <c r="C15" s="113">
        <v>-10340</v>
      </c>
      <c r="D15" s="109">
        <v>2.2000000000000002</v>
      </c>
      <c r="E15" s="109">
        <v>3.8</v>
      </c>
      <c r="F15" s="109">
        <v>5.0999999999999996</v>
      </c>
      <c r="G15" s="109">
        <v>6.5</v>
      </c>
      <c r="H15" s="109">
        <v>8.1999999999999993</v>
      </c>
      <c r="I15" s="109">
        <v>9.6</v>
      </c>
      <c r="J15" s="109">
        <v>11.1</v>
      </c>
      <c r="K15" s="109">
        <v>13.2</v>
      </c>
      <c r="L15" s="109">
        <v>15.8</v>
      </c>
      <c r="M15" s="110">
        <v>24.5</v>
      </c>
      <c r="N15" s="18"/>
      <c r="O15" s="11"/>
      <c r="P15" s="11"/>
    </row>
    <row r="16" spans="1:27" x14ac:dyDescent="0.25">
      <c r="A16" s="194" t="s">
        <v>49</v>
      </c>
      <c r="B16" s="92">
        <v>-258.60000000000002</v>
      </c>
      <c r="C16" s="37">
        <v>-5590</v>
      </c>
      <c r="D16" s="208">
        <v>1</v>
      </c>
      <c r="E16" s="208">
        <v>2.9</v>
      </c>
      <c r="F16" s="208">
        <v>4.5999999999999996</v>
      </c>
      <c r="G16" s="208">
        <v>6.3</v>
      </c>
      <c r="H16" s="208">
        <v>8.1999999999999993</v>
      </c>
      <c r="I16" s="208">
        <v>9.9</v>
      </c>
      <c r="J16" s="208">
        <v>11.7</v>
      </c>
      <c r="K16" s="208">
        <v>14.2</v>
      </c>
      <c r="L16" s="208">
        <v>16.8</v>
      </c>
      <c r="M16" s="209">
        <v>24.5</v>
      </c>
      <c r="N16" s="18"/>
      <c r="O16" s="11"/>
      <c r="P16" s="11"/>
    </row>
    <row r="17" spans="1:16" x14ac:dyDescent="0.25">
      <c r="A17" s="195" t="s">
        <v>217</v>
      </c>
      <c r="B17" s="92">
        <v>-129.19999999999999</v>
      </c>
      <c r="C17" s="37">
        <v>-2790</v>
      </c>
      <c r="D17" s="208">
        <v>0.9</v>
      </c>
      <c r="E17" s="208">
        <v>2.7</v>
      </c>
      <c r="F17" s="208">
        <v>4.0999999999999996</v>
      </c>
      <c r="G17" s="208">
        <v>5.6</v>
      </c>
      <c r="H17" s="208">
        <v>7.6</v>
      </c>
      <c r="I17" s="208">
        <v>9.1999999999999993</v>
      </c>
      <c r="J17" s="208">
        <v>11</v>
      </c>
      <c r="K17" s="208">
        <v>13.4</v>
      </c>
      <c r="L17" s="208">
        <v>16.8</v>
      </c>
      <c r="M17" s="209">
        <v>28.7</v>
      </c>
      <c r="N17" s="18"/>
      <c r="O17" s="11"/>
      <c r="P17" s="11"/>
    </row>
    <row r="18" spans="1:16" x14ac:dyDescent="0.25">
      <c r="A18" s="111" t="s">
        <v>142</v>
      </c>
      <c r="B18" s="107">
        <v>504.5</v>
      </c>
      <c r="C18" s="113">
        <v>10900</v>
      </c>
      <c r="D18" s="109">
        <v>6.6</v>
      </c>
      <c r="E18" s="109">
        <v>8.1</v>
      </c>
      <c r="F18" s="109">
        <v>8.9</v>
      </c>
      <c r="G18" s="109">
        <v>9.1999999999999993</v>
      </c>
      <c r="H18" s="109">
        <v>9.4</v>
      </c>
      <c r="I18" s="109">
        <v>9.8000000000000007</v>
      </c>
      <c r="J18" s="109">
        <v>10.3</v>
      </c>
      <c r="K18" s="109">
        <v>10.8</v>
      </c>
      <c r="L18" s="109">
        <v>12.5</v>
      </c>
      <c r="M18" s="110">
        <v>14.3</v>
      </c>
      <c r="N18" s="18"/>
      <c r="O18" s="11"/>
      <c r="P18" s="11"/>
    </row>
    <row r="19" spans="1:16" x14ac:dyDescent="0.25">
      <c r="A19" s="194" t="s">
        <v>48</v>
      </c>
      <c r="B19" s="27">
        <v>334.1</v>
      </c>
      <c r="C19" s="37">
        <v>7220</v>
      </c>
      <c r="D19" s="208">
        <v>1.7</v>
      </c>
      <c r="E19" s="208">
        <v>4.8</v>
      </c>
      <c r="F19" s="208">
        <v>7.3</v>
      </c>
      <c r="G19" s="208">
        <v>8.6999999999999993</v>
      </c>
      <c r="H19" s="208">
        <v>9.5</v>
      </c>
      <c r="I19" s="208">
        <v>10.3</v>
      </c>
      <c r="J19" s="208">
        <v>11.8</v>
      </c>
      <c r="K19" s="208">
        <v>12.7</v>
      </c>
      <c r="L19" s="208">
        <v>15.5</v>
      </c>
      <c r="M19" s="209">
        <v>17.7</v>
      </c>
      <c r="N19" s="18"/>
      <c r="O19" s="11"/>
      <c r="P19" s="11"/>
    </row>
    <row r="20" spans="1:16" x14ac:dyDescent="0.25">
      <c r="A20" s="195" t="s">
        <v>54</v>
      </c>
      <c r="B20" s="27">
        <v>86.1</v>
      </c>
      <c r="C20" s="37">
        <v>1860</v>
      </c>
      <c r="D20" s="208">
        <v>7.9</v>
      </c>
      <c r="E20" s="208">
        <v>9.9</v>
      </c>
      <c r="F20" s="208">
        <v>10.1</v>
      </c>
      <c r="G20" s="208">
        <v>9.6999999999999993</v>
      </c>
      <c r="H20" s="208">
        <v>9.5</v>
      </c>
      <c r="I20" s="208">
        <v>9.9</v>
      </c>
      <c r="J20" s="208">
        <v>8.9</v>
      </c>
      <c r="K20" s="208">
        <v>9.9</v>
      </c>
      <c r="L20" s="208">
        <v>10.4</v>
      </c>
      <c r="M20" s="209">
        <v>13.8</v>
      </c>
      <c r="N20" s="18"/>
      <c r="O20" s="11"/>
      <c r="P20" s="11"/>
    </row>
    <row r="21" spans="1:16" x14ac:dyDescent="0.25">
      <c r="A21" s="195" t="s">
        <v>61</v>
      </c>
      <c r="B21" s="27">
        <v>54.2</v>
      </c>
      <c r="C21" s="37">
        <v>1170</v>
      </c>
      <c r="D21" s="208">
        <v>26.9</v>
      </c>
      <c r="E21" s="208">
        <v>20.7</v>
      </c>
      <c r="F21" s="208">
        <v>14.3</v>
      </c>
      <c r="G21" s="208">
        <v>10.3</v>
      </c>
      <c r="H21" s="208">
        <v>7.9</v>
      </c>
      <c r="I21" s="208">
        <v>6.7</v>
      </c>
      <c r="J21" s="208">
        <v>5.3</v>
      </c>
      <c r="K21" s="208">
        <v>3.8</v>
      </c>
      <c r="L21" s="208">
        <v>2.5</v>
      </c>
      <c r="M21" s="209">
        <v>1.6</v>
      </c>
      <c r="N21" s="18"/>
      <c r="O21" s="11"/>
      <c r="P21" s="11"/>
    </row>
    <row r="22" spans="1:16" x14ac:dyDescent="0.25">
      <c r="A22" s="128" t="s">
        <v>33</v>
      </c>
      <c r="B22" s="129">
        <v>1375.6</v>
      </c>
      <c r="C22" s="130">
        <v>29710</v>
      </c>
      <c r="D22" s="131">
        <v>3.6</v>
      </c>
      <c r="E22" s="131">
        <v>5.0999999999999996</v>
      </c>
      <c r="F22" s="131">
        <v>6.4</v>
      </c>
      <c r="G22" s="131">
        <v>7.3</v>
      </c>
      <c r="H22" s="131">
        <v>8.1</v>
      </c>
      <c r="I22" s="131">
        <v>8.9</v>
      </c>
      <c r="J22" s="131">
        <v>9.9</v>
      </c>
      <c r="K22" s="131">
        <v>11.2</v>
      </c>
      <c r="L22" s="131">
        <v>13.3</v>
      </c>
      <c r="M22" s="132">
        <v>26.2</v>
      </c>
      <c r="N22" s="18"/>
      <c r="O22" s="11"/>
      <c r="P22" s="11"/>
    </row>
    <row r="23" spans="1:16" x14ac:dyDescent="0.25">
      <c r="A23" s="111" t="s">
        <v>143</v>
      </c>
      <c r="B23" s="107">
        <v>407.5</v>
      </c>
      <c r="C23" s="113">
        <v>8800</v>
      </c>
      <c r="D23" s="109">
        <v>13.8</v>
      </c>
      <c r="E23" s="109">
        <v>13.5</v>
      </c>
      <c r="F23" s="109">
        <v>11.6</v>
      </c>
      <c r="G23" s="109">
        <v>10.3</v>
      </c>
      <c r="H23" s="109">
        <v>9.5</v>
      </c>
      <c r="I23" s="109">
        <v>8.8000000000000007</v>
      </c>
      <c r="J23" s="109">
        <v>8.6</v>
      </c>
      <c r="K23" s="109">
        <v>8.3000000000000007</v>
      </c>
      <c r="L23" s="109">
        <v>8.4</v>
      </c>
      <c r="M23" s="110">
        <v>7.2</v>
      </c>
      <c r="N23" s="18"/>
      <c r="O23" s="11"/>
      <c r="P23" s="11"/>
    </row>
    <row r="24" spans="1:16" x14ac:dyDescent="0.25">
      <c r="A24" s="194" t="s">
        <v>45</v>
      </c>
      <c r="B24" s="27">
        <v>183</v>
      </c>
      <c r="C24" s="37">
        <v>3950</v>
      </c>
      <c r="D24" s="208">
        <v>10</v>
      </c>
      <c r="E24" s="208">
        <v>12.5</v>
      </c>
      <c r="F24" s="208">
        <v>11.2</v>
      </c>
      <c r="G24" s="208">
        <v>10.1</v>
      </c>
      <c r="H24" s="208">
        <v>9.5</v>
      </c>
      <c r="I24" s="208">
        <v>8.9</v>
      </c>
      <c r="J24" s="208">
        <v>9.3000000000000007</v>
      </c>
      <c r="K24" s="208">
        <v>9.4</v>
      </c>
      <c r="L24" s="208">
        <v>10.9</v>
      </c>
      <c r="M24" s="209">
        <v>8.1</v>
      </c>
      <c r="N24" s="18"/>
      <c r="O24" s="11"/>
      <c r="P24" s="11"/>
    </row>
    <row r="25" spans="1:16" x14ac:dyDescent="0.25">
      <c r="A25" s="195" t="s">
        <v>46</v>
      </c>
      <c r="B25" s="27">
        <v>104.9</v>
      </c>
      <c r="C25" s="37">
        <v>2260</v>
      </c>
      <c r="D25" s="208">
        <v>15</v>
      </c>
      <c r="E25" s="208">
        <v>12.5</v>
      </c>
      <c r="F25" s="208">
        <v>11.3</v>
      </c>
      <c r="G25" s="208">
        <v>10.5</v>
      </c>
      <c r="H25" s="208">
        <v>9.6999999999999993</v>
      </c>
      <c r="I25" s="208">
        <v>8.8000000000000007</v>
      </c>
      <c r="J25" s="208">
        <v>8.1</v>
      </c>
      <c r="K25" s="208">
        <v>8.1999999999999993</v>
      </c>
      <c r="L25" s="208">
        <v>7.6</v>
      </c>
      <c r="M25" s="209">
        <v>8.4</v>
      </c>
      <c r="N25" s="18"/>
      <c r="O25" s="11"/>
      <c r="P25" s="11"/>
    </row>
    <row r="26" spans="1:16" x14ac:dyDescent="0.25">
      <c r="A26" s="195" t="s">
        <v>47</v>
      </c>
      <c r="B26" s="27">
        <v>80.599999999999994</v>
      </c>
      <c r="C26" s="36">
        <v>1740</v>
      </c>
      <c r="D26" s="208">
        <v>22.8</v>
      </c>
      <c r="E26" s="208">
        <v>18.7</v>
      </c>
      <c r="F26" s="208">
        <v>13.6</v>
      </c>
      <c r="G26" s="208">
        <v>10.7</v>
      </c>
      <c r="H26" s="208">
        <v>8.6999999999999993</v>
      </c>
      <c r="I26" s="208">
        <v>8</v>
      </c>
      <c r="J26" s="208">
        <v>7.1</v>
      </c>
      <c r="K26" s="208">
        <v>5</v>
      </c>
      <c r="L26" s="208">
        <v>3.1</v>
      </c>
      <c r="M26" s="209">
        <v>2.2999999999999998</v>
      </c>
      <c r="N26" s="18"/>
      <c r="O26" s="11"/>
      <c r="P26" s="11"/>
    </row>
    <row r="27" spans="1:16" x14ac:dyDescent="0.25">
      <c r="A27" s="111" t="s">
        <v>22</v>
      </c>
      <c r="B27" s="107">
        <v>191</v>
      </c>
      <c r="C27" s="114">
        <v>4130</v>
      </c>
      <c r="D27" s="109">
        <v>10.1</v>
      </c>
      <c r="E27" s="109">
        <v>9.8000000000000007</v>
      </c>
      <c r="F27" s="109">
        <v>9.6</v>
      </c>
      <c r="G27" s="109">
        <v>9.6999999999999993</v>
      </c>
      <c r="H27" s="109">
        <v>9.5</v>
      </c>
      <c r="I27" s="109">
        <v>9.6</v>
      </c>
      <c r="J27" s="109">
        <v>9.6</v>
      </c>
      <c r="K27" s="109">
        <v>10</v>
      </c>
      <c r="L27" s="109">
        <v>10.4</v>
      </c>
      <c r="M27" s="110">
        <v>11.6</v>
      </c>
      <c r="N27" s="18"/>
      <c r="O27" s="11"/>
      <c r="P27" s="11"/>
    </row>
    <row r="28" spans="1:16" x14ac:dyDescent="0.25">
      <c r="A28" s="115" t="s">
        <v>16</v>
      </c>
      <c r="B28" s="116">
        <v>1982.3</v>
      </c>
      <c r="C28" s="117">
        <v>42820</v>
      </c>
      <c r="D28" s="118">
        <v>6.4</v>
      </c>
      <c r="E28" s="118">
        <v>7.4</v>
      </c>
      <c r="F28" s="118">
        <v>7.8</v>
      </c>
      <c r="G28" s="118">
        <v>8.1999999999999993</v>
      </c>
      <c r="H28" s="118">
        <v>8.5</v>
      </c>
      <c r="I28" s="118">
        <v>9</v>
      </c>
      <c r="J28" s="118">
        <v>9.6</v>
      </c>
      <c r="K28" s="118">
        <v>10.5</v>
      </c>
      <c r="L28" s="118">
        <v>12</v>
      </c>
      <c r="M28" s="119">
        <v>20.6</v>
      </c>
      <c r="N28" s="18"/>
      <c r="O28" s="11"/>
      <c r="P28" s="11"/>
    </row>
    <row r="29" spans="1:16" ht="24.75" customHeight="1" x14ac:dyDescent="0.25">
      <c r="A29" s="120" t="s">
        <v>85</v>
      </c>
      <c r="B29" s="121"/>
      <c r="C29" s="121"/>
      <c r="D29" s="122">
        <v>170.8</v>
      </c>
      <c r="E29" s="122">
        <v>100.7</v>
      </c>
      <c r="F29" s="122">
        <v>58.3</v>
      </c>
      <c r="G29" s="122">
        <v>33.799999999999997</v>
      </c>
      <c r="H29" s="122">
        <v>16.3</v>
      </c>
      <c r="I29" s="122">
        <v>6.5</v>
      </c>
      <c r="J29" s="122">
        <v>-1.2</v>
      </c>
      <c r="K29" s="122">
        <v>-9.9</v>
      </c>
      <c r="L29" s="122">
        <v>-16</v>
      </c>
      <c r="M29" s="123">
        <v>-34.6</v>
      </c>
      <c r="N29" s="18"/>
      <c r="O29" s="11"/>
      <c r="P29" s="11"/>
    </row>
    <row r="30" spans="1:16" ht="18" customHeight="1" x14ac:dyDescent="0.25">
      <c r="A30" s="124" t="s">
        <v>86</v>
      </c>
      <c r="B30" s="125"/>
      <c r="C30" s="125"/>
      <c r="D30" s="126">
        <v>4</v>
      </c>
      <c r="E30" s="126">
        <v>3.7</v>
      </c>
      <c r="F30" s="126">
        <v>2.9</v>
      </c>
      <c r="G30" s="126">
        <v>2.1</v>
      </c>
      <c r="H30" s="126">
        <v>1.2</v>
      </c>
      <c r="I30" s="126">
        <v>0.5</v>
      </c>
      <c r="J30" s="126">
        <v>-0.1</v>
      </c>
      <c r="K30" s="126">
        <v>-1.2</v>
      </c>
      <c r="L30" s="126">
        <v>-2.2999999999999998</v>
      </c>
      <c r="M30" s="127">
        <v>-10.9</v>
      </c>
      <c r="N30" s="18"/>
      <c r="O30" s="11"/>
      <c r="P30" s="11"/>
    </row>
    <row r="31" spans="1:16" x14ac:dyDescent="0.25">
      <c r="A31" s="300" t="s">
        <v>164</v>
      </c>
      <c r="B31" s="301"/>
      <c r="C31" s="44"/>
      <c r="E31" s="26"/>
      <c r="F31" s="26"/>
      <c r="G31" s="26"/>
      <c r="H31" s="26"/>
      <c r="I31" s="26"/>
      <c r="J31" s="26"/>
      <c r="K31" s="26"/>
      <c r="L31" s="26"/>
      <c r="M31" s="18"/>
      <c r="N31" s="18"/>
      <c r="O31" s="11"/>
    </row>
    <row r="32" spans="1:16" x14ac:dyDescent="0.25">
      <c r="A32" s="31" t="s">
        <v>63</v>
      </c>
      <c r="B32" s="18"/>
      <c r="C32" s="18"/>
    </row>
    <row r="33" spans="1:15" x14ac:dyDescent="0.25">
      <c r="A33" s="67" t="s">
        <v>174</v>
      </c>
      <c r="B33" s="86"/>
      <c r="C33" s="86"/>
      <c r="D33" s="86"/>
      <c r="E33" s="86"/>
      <c r="F33" s="86"/>
      <c r="G33" s="86"/>
      <c r="H33" s="86"/>
      <c r="I33" s="86"/>
      <c r="J33" s="55"/>
      <c r="K33" s="55"/>
      <c r="L33" s="18"/>
      <c r="M33" s="18"/>
      <c r="N33" s="18"/>
      <c r="O33" s="11"/>
    </row>
    <row r="34" spans="1:15" ht="28.5" customHeight="1" x14ac:dyDescent="0.25">
      <c r="A34" s="302" t="s">
        <v>171</v>
      </c>
      <c r="B34" s="290"/>
      <c r="C34" s="290"/>
      <c r="D34" s="290"/>
      <c r="E34" s="290"/>
      <c r="F34" s="290"/>
      <c r="G34" s="290"/>
      <c r="H34" s="290"/>
      <c r="I34" s="290"/>
      <c r="J34" s="290"/>
      <c r="K34" s="290"/>
      <c r="L34" s="290"/>
      <c r="M34" s="290"/>
      <c r="N34" s="18"/>
      <c r="O34" s="11"/>
    </row>
    <row r="35" spans="1:15" s="57" customFormat="1" ht="28.5" customHeight="1" x14ac:dyDescent="0.25">
      <c r="A35" s="293" t="s">
        <v>212</v>
      </c>
      <c r="B35" s="294"/>
      <c r="C35" s="294"/>
      <c r="D35" s="294"/>
      <c r="E35" s="294"/>
      <c r="F35" s="294"/>
      <c r="G35" s="294"/>
      <c r="H35" s="294"/>
      <c r="I35" s="294"/>
      <c r="J35" s="294"/>
      <c r="K35" s="294"/>
      <c r="L35" s="294"/>
      <c r="M35" s="294"/>
      <c r="N35" s="67"/>
    </row>
    <row r="36" spans="1:15" s="57" customFormat="1" ht="10.5" customHeight="1" x14ac:dyDescent="0.25">
      <c r="A36" s="68" t="s">
        <v>62</v>
      </c>
    </row>
    <row r="37" spans="1:15" s="57" customFormat="1" x14ac:dyDescent="0.25">
      <c r="A37" s="69" t="s">
        <v>20</v>
      </c>
    </row>
    <row r="38" spans="1:15" s="57" customFormat="1" x14ac:dyDescent="0.25"/>
    <row r="39" spans="1:15" s="57" customFormat="1" ht="9" customHeight="1" x14ac:dyDescent="0.25">
      <c r="A39" s="70"/>
    </row>
    <row r="40" spans="1:15" s="57" customFormat="1" x14ac:dyDescent="0.25">
      <c r="A40" s="71"/>
      <c r="B40" s="71"/>
      <c r="C40" s="71"/>
    </row>
    <row r="41" spans="1:15" x14ac:dyDescent="0.25">
      <c r="A41" s="9"/>
      <c r="B41" s="9"/>
      <c r="C41" s="9"/>
      <c r="D41" s="11"/>
      <c r="E41" s="11"/>
      <c r="F41" s="11"/>
      <c r="G41" s="11"/>
      <c r="H41" s="11"/>
      <c r="I41" s="11"/>
      <c r="J41" s="11"/>
      <c r="K41" s="11"/>
      <c r="L41" s="11"/>
      <c r="M41" s="11"/>
    </row>
    <row r="42" spans="1:15" x14ac:dyDescent="0.25">
      <c r="D42" s="11"/>
      <c r="E42" s="11"/>
      <c r="F42" s="11"/>
      <c r="G42" s="11"/>
      <c r="H42" s="11"/>
      <c r="I42" s="11"/>
      <c r="J42" s="11"/>
      <c r="K42" s="11"/>
      <c r="L42" s="11"/>
      <c r="M42" s="11"/>
    </row>
    <row r="43" spans="1:15" x14ac:dyDescent="0.25">
      <c r="D43" s="11"/>
      <c r="E43" s="11"/>
      <c r="F43" s="11"/>
      <c r="G43" s="11"/>
      <c r="H43" s="11"/>
      <c r="I43" s="11"/>
      <c r="J43" s="11"/>
      <c r="K43" s="11"/>
      <c r="L43" s="11"/>
      <c r="M43" s="11"/>
    </row>
    <row r="44" spans="1:15" x14ac:dyDescent="0.25">
      <c r="D44" s="11"/>
      <c r="E44" s="11"/>
      <c r="F44" s="11"/>
      <c r="G44" s="11"/>
      <c r="H44" s="11"/>
      <c r="I44" s="11"/>
      <c r="J44" s="11"/>
      <c r="K44" s="11"/>
      <c r="L44" s="11"/>
      <c r="M44" s="11"/>
    </row>
    <row r="45" spans="1:15" x14ac:dyDescent="0.25">
      <c r="D45" s="11"/>
      <c r="E45" s="11"/>
      <c r="F45" s="11"/>
      <c r="G45" s="11"/>
      <c r="H45" s="11"/>
      <c r="I45" s="11"/>
      <c r="J45" s="11"/>
      <c r="K45" s="11"/>
      <c r="L45" s="11"/>
      <c r="M45" s="11"/>
    </row>
    <row r="46" spans="1:15" x14ac:dyDescent="0.25">
      <c r="D46" s="11"/>
      <c r="E46" s="11"/>
      <c r="F46" s="11"/>
      <c r="G46" s="11"/>
      <c r="H46" s="11"/>
      <c r="I46" s="11"/>
      <c r="J46" s="11"/>
      <c r="K46" s="11"/>
      <c r="L46" s="11"/>
      <c r="M46" s="11"/>
    </row>
    <row r="47" spans="1:15" x14ac:dyDescent="0.25">
      <c r="D47" s="11"/>
      <c r="E47" s="11"/>
      <c r="F47" s="11"/>
      <c r="G47" s="11"/>
      <c r="H47" s="11"/>
      <c r="I47" s="11"/>
      <c r="J47" s="11"/>
      <c r="K47" s="11"/>
      <c r="L47" s="11"/>
      <c r="M47" s="11"/>
    </row>
    <row r="48" spans="1:15" x14ac:dyDescent="0.25">
      <c r="D48" s="11"/>
      <c r="E48" s="11"/>
      <c r="F48" s="11"/>
      <c r="G48" s="11"/>
      <c r="H48" s="11"/>
      <c r="I48" s="11"/>
      <c r="J48" s="11"/>
      <c r="K48" s="11"/>
      <c r="L48" s="11"/>
      <c r="M48" s="11"/>
    </row>
    <row r="49" spans="4:13" x14ac:dyDescent="0.25">
      <c r="D49" s="11"/>
      <c r="E49" s="11"/>
      <c r="F49" s="11"/>
      <c r="G49" s="11"/>
      <c r="H49" s="11"/>
      <c r="I49" s="11"/>
      <c r="J49" s="11"/>
      <c r="K49" s="11"/>
      <c r="L49" s="11"/>
      <c r="M49" s="11"/>
    </row>
    <row r="50" spans="4:13" x14ac:dyDescent="0.25">
      <c r="D50" s="11"/>
      <c r="E50" s="11"/>
      <c r="F50" s="11"/>
      <c r="G50" s="11"/>
      <c r="H50" s="11"/>
      <c r="I50" s="11"/>
      <c r="J50" s="11"/>
      <c r="K50" s="11"/>
      <c r="L50" s="11"/>
      <c r="M50" s="11"/>
    </row>
    <row r="51" spans="4:13" x14ac:dyDescent="0.25">
      <c r="D51" s="11"/>
      <c r="E51" s="11"/>
      <c r="F51" s="11"/>
      <c r="G51" s="11"/>
      <c r="H51" s="11"/>
      <c r="I51" s="11"/>
      <c r="J51" s="11"/>
      <c r="K51" s="11"/>
      <c r="L51" s="11"/>
      <c r="M51" s="11"/>
    </row>
    <row r="52" spans="4:13" x14ac:dyDescent="0.25">
      <c r="D52" s="11"/>
      <c r="E52" s="11"/>
      <c r="F52" s="11"/>
      <c r="G52" s="11"/>
      <c r="H52" s="11"/>
      <c r="I52" s="11"/>
      <c r="J52" s="11"/>
      <c r="K52" s="11"/>
      <c r="L52" s="11"/>
      <c r="M52" s="11"/>
    </row>
    <row r="53" spans="4:13" x14ac:dyDescent="0.25">
      <c r="D53" s="11"/>
      <c r="E53" s="11"/>
      <c r="F53" s="11"/>
      <c r="G53" s="11"/>
      <c r="H53" s="11"/>
      <c r="I53" s="11"/>
      <c r="J53" s="11"/>
      <c r="K53" s="11"/>
      <c r="L53" s="11"/>
      <c r="M53" s="11"/>
    </row>
    <row r="54" spans="4:13" x14ac:dyDescent="0.25">
      <c r="D54" s="11"/>
      <c r="E54" s="11"/>
      <c r="F54" s="11"/>
      <c r="G54" s="11"/>
      <c r="H54" s="11"/>
      <c r="I54" s="11"/>
      <c r="J54" s="11"/>
      <c r="K54" s="11"/>
      <c r="L54" s="11"/>
      <c r="M54" s="11"/>
    </row>
    <row r="55" spans="4:13" x14ac:dyDescent="0.25">
      <c r="D55" s="11"/>
      <c r="E55" s="11"/>
      <c r="F55" s="11"/>
      <c r="G55" s="11"/>
      <c r="H55" s="11"/>
      <c r="I55" s="11"/>
      <c r="J55" s="11"/>
      <c r="K55" s="11"/>
      <c r="L55" s="11"/>
      <c r="M55" s="11"/>
    </row>
    <row r="56" spans="4:13" x14ac:dyDescent="0.25">
      <c r="D56" s="11"/>
      <c r="E56" s="11"/>
      <c r="F56" s="11"/>
      <c r="G56" s="11"/>
      <c r="H56" s="11"/>
      <c r="I56" s="11"/>
      <c r="J56" s="11"/>
      <c r="K56" s="11"/>
      <c r="L56" s="11"/>
      <c r="M56" s="11"/>
    </row>
    <row r="57" spans="4:13" x14ac:dyDescent="0.25">
      <c r="D57" s="11"/>
      <c r="E57" s="11"/>
      <c r="F57" s="11"/>
      <c r="G57" s="11"/>
      <c r="H57" s="11"/>
      <c r="I57" s="11"/>
      <c r="J57" s="11"/>
      <c r="K57" s="11"/>
      <c r="L57" s="11"/>
      <c r="M57" s="11"/>
    </row>
    <row r="58" spans="4:13" x14ac:dyDescent="0.25">
      <c r="D58" s="11"/>
      <c r="E58" s="11"/>
      <c r="F58" s="11"/>
      <c r="G58" s="11"/>
      <c r="H58" s="11"/>
      <c r="I58" s="11"/>
      <c r="J58" s="11"/>
      <c r="K58" s="11"/>
      <c r="L58" s="11"/>
      <c r="M58" s="11"/>
    </row>
    <row r="59" spans="4:13" x14ac:dyDescent="0.25">
      <c r="D59" s="11"/>
      <c r="E59" s="11"/>
      <c r="F59" s="11"/>
      <c r="G59" s="11"/>
      <c r="H59" s="11"/>
      <c r="I59" s="11"/>
      <c r="J59" s="11"/>
      <c r="K59" s="11"/>
      <c r="L59" s="11"/>
      <c r="M59" s="11"/>
    </row>
    <row r="60" spans="4:13" x14ac:dyDescent="0.25">
      <c r="D60" s="11"/>
      <c r="E60" s="11"/>
      <c r="F60" s="11"/>
      <c r="G60" s="11"/>
      <c r="H60" s="11"/>
      <c r="I60" s="11"/>
      <c r="J60" s="11"/>
      <c r="K60" s="11"/>
      <c r="L60" s="11"/>
      <c r="M60" s="11"/>
    </row>
    <row r="61" spans="4:13" x14ac:dyDescent="0.25">
      <c r="D61" s="11"/>
      <c r="E61" s="11"/>
      <c r="F61" s="11"/>
      <c r="G61" s="11"/>
      <c r="H61" s="11"/>
      <c r="I61" s="11"/>
      <c r="J61" s="11"/>
      <c r="K61" s="11"/>
      <c r="L61" s="11"/>
      <c r="M61" s="11"/>
    </row>
    <row r="62" spans="4:13" x14ac:dyDescent="0.25">
      <c r="D62" s="11"/>
      <c r="E62" s="11"/>
      <c r="F62" s="11"/>
      <c r="G62" s="11"/>
      <c r="H62" s="11"/>
      <c r="I62" s="11"/>
      <c r="J62" s="11"/>
      <c r="K62" s="11"/>
      <c r="L62" s="11"/>
      <c r="M62" s="11"/>
    </row>
    <row r="63" spans="4:13" x14ac:dyDescent="0.25">
      <c r="D63" s="11"/>
      <c r="E63" s="11"/>
      <c r="F63" s="11"/>
      <c r="G63" s="11"/>
      <c r="H63" s="11"/>
      <c r="I63" s="11"/>
      <c r="J63" s="11"/>
      <c r="K63" s="11"/>
      <c r="L63" s="11"/>
      <c r="M63" s="11"/>
    </row>
    <row r="64" spans="4:13" x14ac:dyDescent="0.25">
      <c r="D64" s="11"/>
      <c r="E64" s="11"/>
      <c r="F64" s="11"/>
      <c r="G64" s="11"/>
      <c r="H64" s="11"/>
      <c r="I64" s="11"/>
      <c r="J64" s="11"/>
      <c r="K64" s="11"/>
      <c r="L64" s="11"/>
      <c r="M64" s="11"/>
    </row>
    <row r="65" spans="4:13" x14ac:dyDescent="0.25">
      <c r="D65" s="11"/>
      <c r="E65" s="11"/>
      <c r="F65" s="11"/>
      <c r="G65" s="11"/>
      <c r="H65" s="11"/>
      <c r="I65" s="11"/>
      <c r="J65" s="11"/>
      <c r="K65" s="11"/>
      <c r="L65" s="11"/>
      <c r="M65" s="11"/>
    </row>
    <row r="66" spans="4:13" x14ac:dyDescent="0.25">
      <c r="D66" s="11"/>
      <c r="E66" s="11"/>
      <c r="F66" s="11"/>
      <c r="G66" s="11"/>
      <c r="H66" s="11"/>
      <c r="I66" s="11"/>
      <c r="J66" s="11"/>
      <c r="K66" s="11"/>
      <c r="L66" s="11"/>
      <c r="M66" s="11"/>
    </row>
    <row r="67" spans="4:13" x14ac:dyDescent="0.25">
      <c r="D67" s="11"/>
      <c r="E67" s="11"/>
      <c r="F67" s="11"/>
      <c r="G67" s="11"/>
      <c r="H67" s="11"/>
      <c r="I67" s="11"/>
      <c r="J67" s="11"/>
      <c r="K67" s="11"/>
      <c r="L67" s="11"/>
      <c r="M67" s="11"/>
    </row>
    <row r="68" spans="4:13" x14ac:dyDescent="0.25">
      <c r="D68" s="11"/>
      <c r="E68" s="11"/>
      <c r="F68" s="11"/>
      <c r="G68" s="11"/>
      <c r="H68" s="11"/>
      <c r="I68" s="11"/>
      <c r="J68" s="11"/>
      <c r="K68" s="11"/>
      <c r="L68" s="11"/>
      <c r="M68" s="11"/>
    </row>
    <row r="69" spans="4:13" x14ac:dyDescent="0.25">
      <c r="D69" s="11"/>
      <c r="E69" s="11"/>
      <c r="F69" s="11"/>
      <c r="G69" s="11"/>
      <c r="H69" s="11"/>
      <c r="I69" s="11"/>
      <c r="J69" s="11"/>
      <c r="K69" s="11"/>
      <c r="L69" s="11"/>
      <c r="M69" s="11"/>
    </row>
    <row r="70" spans="4:13" x14ac:dyDescent="0.25">
      <c r="D70" s="11"/>
      <c r="E70" s="11"/>
      <c r="F70" s="11"/>
      <c r="G70" s="11"/>
      <c r="H70" s="11"/>
      <c r="I70" s="11"/>
      <c r="J70" s="11"/>
      <c r="K70" s="11"/>
      <c r="L70" s="11"/>
      <c r="M70" s="11"/>
    </row>
    <row r="71" spans="4:13" x14ac:dyDescent="0.25">
      <c r="D71" s="11"/>
      <c r="E71" s="11"/>
      <c r="F71" s="11"/>
      <c r="G71" s="11"/>
      <c r="H71" s="11"/>
      <c r="I71" s="11"/>
      <c r="J71" s="11"/>
      <c r="K71" s="11"/>
      <c r="L71" s="11"/>
      <c r="M71" s="11"/>
    </row>
    <row r="72" spans="4:13" x14ac:dyDescent="0.25">
      <c r="D72" s="11"/>
      <c r="E72" s="11"/>
      <c r="F72" s="11"/>
      <c r="G72" s="11"/>
      <c r="H72" s="11"/>
      <c r="I72" s="11"/>
      <c r="J72" s="11"/>
      <c r="K72" s="11"/>
      <c r="L72" s="11"/>
      <c r="M72" s="11"/>
    </row>
    <row r="73" spans="4:13" x14ac:dyDescent="0.25">
      <c r="D73" s="11"/>
      <c r="E73" s="11"/>
      <c r="F73" s="11"/>
      <c r="G73" s="11"/>
      <c r="H73" s="11"/>
      <c r="I73" s="11"/>
      <c r="J73" s="11"/>
      <c r="K73" s="11"/>
      <c r="L73" s="11"/>
      <c r="M73" s="11"/>
    </row>
    <row r="74" spans="4:13" x14ac:dyDescent="0.25">
      <c r="D74" s="11"/>
      <c r="E74" s="11"/>
      <c r="F74" s="11"/>
      <c r="G74" s="11"/>
      <c r="H74" s="11"/>
      <c r="I74" s="11"/>
      <c r="J74" s="11"/>
      <c r="K74" s="11"/>
      <c r="L74" s="11"/>
      <c r="M74" s="11"/>
    </row>
    <row r="75" spans="4:13" x14ac:dyDescent="0.25">
      <c r="D75" s="11"/>
      <c r="E75" s="11"/>
      <c r="F75" s="11"/>
      <c r="G75" s="11"/>
      <c r="H75" s="11"/>
      <c r="I75" s="11"/>
      <c r="J75" s="11"/>
      <c r="K75" s="11"/>
      <c r="L75" s="11"/>
      <c r="M75" s="11"/>
    </row>
    <row r="76" spans="4:13" x14ac:dyDescent="0.25">
      <c r="D76" s="11"/>
      <c r="E76" s="11"/>
      <c r="F76" s="11"/>
      <c r="G76" s="11"/>
      <c r="H76" s="11"/>
      <c r="I76" s="11"/>
      <c r="J76" s="11"/>
      <c r="K76" s="11"/>
      <c r="L76" s="11"/>
      <c r="M76" s="11"/>
    </row>
    <row r="77" spans="4:13" x14ac:dyDescent="0.25">
      <c r="D77" s="11"/>
      <c r="E77" s="11"/>
      <c r="F77" s="11"/>
      <c r="G77" s="11"/>
      <c r="H77" s="11"/>
      <c r="I77" s="11"/>
      <c r="J77" s="11"/>
      <c r="K77" s="11"/>
      <c r="L77" s="11"/>
      <c r="M77" s="11"/>
    </row>
    <row r="78" spans="4:13" x14ac:dyDescent="0.25">
      <c r="D78" s="11"/>
      <c r="E78" s="11"/>
      <c r="F78" s="11"/>
      <c r="G78" s="11"/>
      <c r="H78" s="11"/>
      <c r="I78" s="11"/>
      <c r="J78" s="11"/>
      <c r="K78" s="11"/>
      <c r="L78" s="11"/>
      <c r="M78" s="11"/>
    </row>
    <row r="79" spans="4:13" x14ac:dyDescent="0.25">
      <c r="D79" s="11"/>
      <c r="E79" s="11"/>
      <c r="F79" s="11"/>
      <c r="G79" s="11"/>
      <c r="H79" s="11"/>
      <c r="I79" s="11"/>
      <c r="J79" s="11"/>
      <c r="K79" s="11"/>
      <c r="L79" s="11"/>
      <c r="M79" s="11"/>
    </row>
    <row r="80" spans="4:13" x14ac:dyDescent="0.25">
      <c r="D80" s="11"/>
      <c r="E80" s="11"/>
      <c r="F80" s="11"/>
      <c r="G80" s="11"/>
      <c r="H80" s="11"/>
      <c r="I80" s="11"/>
      <c r="J80" s="11"/>
      <c r="K80" s="11"/>
      <c r="L80" s="11"/>
      <c r="M80" s="11"/>
    </row>
    <row r="81" spans="4:13" x14ac:dyDescent="0.25">
      <c r="D81" s="11"/>
      <c r="E81" s="11"/>
      <c r="F81" s="11"/>
      <c r="G81" s="11"/>
      <c r="H81" s="11"/>
      <c r="I81" s="11"/>
      <c r="J81" s="11"/>
      <c r="K81" s="11"/>
      <c r="L81" s="11"/>
      <c r="M81" s="11"/>
    </row>
    <row r="82" spans="4:13" x14ac:dyDescent="0.25">
      <c r="D82" s="11"/>
      <c r="E82" s="11"/>
      <c r="F82" s="11"/>
      <c r="G82" s="11"/>
      <c r="H82" s="11"/>
      <c r="I82" s="11"/>
      <c r="J82" s="11"/>
      <c r="K82" s="11"/>
      <c r="L82" s="11"/>
      <c r="M82" s="11"/>
    </row>
    <row r="83" spans="4:13" x14ac:dyDescent="0.25">
      <c r="D83" s="11"/>
      <c r="E83" s="11"/>
      <c r="F83" s="11"/>
      <c r="G83" s="11"/>
      <c r="H83" s="11"/>
      <c r="I83" s="11"/>
      <c r="J83" s="11"/>
      <c r="K83" s="11"/>
      <c r="L83" s="11"/>
      <c r="M83" s="11"/>
    </row>
    <row r="84" spans="4:13" x14ac:dyDescent="0.25">
      <c r="D84" s="11"/>
      <c r="E84" s="11"/>
      <c r="F84" s="11"/>
      <c r="G84" s="11"/>
      <c r="H84" s="11"/>
      <c r="I84" s="11"/>
      <c r="J84" s="11"/>
      <c r="K84" s="11"/>
      <c r="L84" s="11"/>
      <c r="M84" s="11"/>
    </row>
    <row r="85" spans="4:13" x14ac:dyDescent="0.25">
      <c r="D85" s="11"/>
      <c r="E85" s="11"/>
      <c r="F85" s="11"/>
      <c r="G85" s="11"/>
      <c r="H85" s="11"/>
      <c r="I85" s="11"/>
      <c r="J85" s="11"/>
      <c r="K85" s="11"/>
      <c r="L85" s="11"/>
      <c r="M85" s="11"/>
    </row>
    <row r="86" spans="4:13" x14ac:dyDescent="0.25">
      <c r="D86" s="11"/>
      <c r="E86" s="11"/>
      <c r="F86" s="11"/>
      <c r="G86" s="11"/>
      <c r="H86" s="11"/>
      <c r="I86" s="11"/>
      <c r="J86" s="11"/>
      <c r="K86" s="11"/>
      <c r="L86" s="11"/>
      <c r="M86" s="11"/>
    </row>
    <row r="87" spans="4:13" x14ac:dyDescent="0.25">
      <c r="D87" s="11"/>
      <c r="E87" s="11"/>
      <c r="F87" s="11"/>
      <c r="G87" s="11"/>
      <c r="H87" s="11"/>
      <c r="I87" s="11"/>
      <c r="J87" s="11"/>
      <c r="K87" s="11"/>
      <c r="L87" s="11"/>
      <c r="M87" s="11"/>
    </row>
    <row r="88" spans="4:13" x14ac:dyDescent="0.25">
      <c r="D88" s="11"/>
      <c r="E88" s="11"/>
      <c r="F88" s="11"/>
      <c r="G88" s="11"/>
      <c r="H88" s="11"/>
      <c r="I88" s="11"/>
      <c r="J88" s="11"/>
      <c r="K88" s="11"/>
      <c r="L88" s="11"/>
      <c r="M88" s="11"/>
    </row>
    <row r="89" spans="4:13" x14ac:dyDescent="0.25">
      <c r="D89" s="11"/>
      <c r="E89" s="11"/>
      <c r="F89" s="11"/>
      <c r="G89" s="11"/>
      <c r="H89" s="11"/>
      <c r="I89" s="11"/>
      <c r="J89" s="11"/>
      <c r="K89" s="11"/>
      <c r="L89" s="11"/>
      <c r="M89" s="11"/>
    </row>
    <row r="90" spans="4:13" x14ac:dyDescent="0.25">
      <c r="D90" s="11"/>
      <c r="E90" s="11"/>
      <c r="F90" s="11"/>
      <c r="G90" s="11"/>
      <c r="H90" s="11"/>
      <c r="I90" s="11"/>
      <c r="J90" s="11"/>
      <c r="K90" s="11"/>
      <c r="L90" s="11"/>
      <c r="M90" s="11"/>
    </row>
    <row r="91" spans="4:13" x14ac:dyDescent="0.25">
      <c r="D91" s="11"/>
      <c r="E91" s="11"/>
      <c r="F91" s="11"/>
      <c r="G91" s="11"/>
      <c r="H91" s="11"/>
      <c r="I91" s="11"/>
      <c r="J91" s="11"/>
      <c r="K91" s="11"/>
      <c r="L91" s="11"/>
      <c r="M91" s="11"/>
    </row>
    <row r="92" spans="4:13" x14ac:dyDescent="0.25">
      <c r="D92" s="11"/>
      <c r="E92" s="11"/>
      <c r="F92" s="11"/>
      <c r="G92" s="11"/>
      <c r="H92" s="11"/>
      <c r="I92" s="11"/>
      <c r="J92" s="11"/>
      <c r="K92" s="11"/>
      <c r="L92" s="11"/>
      <c r="M92" s="11"/>
    </row>
    <row r="93" spans="4:13" x14ac:dyDescent="0.25">
      <c r="D93" s="11"/>
      <c r="E93" s="11"/>
      <c r="F93" s="11"/>
      <c r="G93" s="11"/>
      <c r="H93" s="11"/>
      <c r="I93" s="11"/>
      <c r="J93" s="11"/>
      <c r="K93" s="11"/>
      <c r="L93" s="11"/>
      <c r="M93" s="11"/>
    </row>
    <row r="94" spans="4:13" x14ac:dyDescent="0.25">
      <c r="D94" s="11"/>
      <c r="E94" s="11"/>
      <c r="F94" s="11"/>
      <c r="G94" s="11"/>
      <c r="H94" s="11"/>
      <c r="I94" s="11"/>
      <c r="J94" s="11"/>
      <c r="K94" s="11"/>
      <c r="L94" s="11"/>
      <c r="M94" s="11"/>
    </row>
    <row r="95" spans="4:13" x14ac:dyDescent="0.25">
      <c r="D95" s="11"/>
      <c r="E95" s="11"/>
      <c r="F95" s="11"/>
      <c r="G95" s="11"/>
      <c r="H95" s="11"/>
      <c r="I95" s="11"/>
      <c r="J95" s="11"/>
      <c r="K95" s="11"/>
      <c r="L95" s="11"/>
      <c r="M95" s="11"/>
    </row>
    <row r="96" spans="4:13" x14ac:dyDescent="0.25">
      <c r="D96" s="11"/>
      <c r="E96" s="11"/>
      <c r="F96" s="11"/>
      <c r="G96" s="11"/>
      <c r="H96" s="11"/>
      <c r="I96" s="11"/>
      <c r="J96" s="11"/>
      <c r="K96" s="11"/>
      <c r="L96" s="11"/>
      <c r="M96" s="11"/>
    </row>
    <row r="97" spans="4:13" x14ac:dyDescent="0.25">
      <c r="D97" s="11"/>
      <c r="E97" s="11"/>
      <c r="F97" s="11"/>
      <c r="G97" s="11"/>
      <c r="H97" s="11"/>
      <c r="I97" s="11"/>
      <c r="J97" s="11"/>
      <c r="K97" s="11"/>
      <c r="L97" s="11"/>
      <c r="M97" s="11"/>
    </row>
    <row r="98" spans="4:13" x14ac:dyDescent="0.25">
      <c r="D98" s="11"/>
      <c r="E98" s="11"/>
      <c r="F98" s="11"/>
      <c r="G98" s="11"/>
      <c r="H98" s="11"/>
      <c r="I98" s="11"/>
      <c r="J98" s="11"/>
      <c r="K98" s="11"/>
      <c r="L98" s="11"/>
      <c r="M98" s="11"/>
    </row>
    <row r="99" spans="4:13" x14ac:dyDescent="0.25">
      <c r="D99" s="11"/>
      <c r="E99" s="11"/>
      <c r="F99" s="11"/>
      <c r="G99" s="11"/>
      <c r="H99" s="11"/>
      <c r="I99" s="11"/>
      <c r="J99" s="11"/>
      <c r="K99" s="11"/>
      <c r="L99" s="11"/>
      <c r="M99" s="11"/>
    </row>
    <row r="100" spans="4:13" x14ac:dyDescent="0.25">
      <c r="D100" s="11"/>
      <c r="E100" s="11"/>
      <c r="F100" s="11"/>
      <c r="G100" s="11"/>
      <c r="H100" s="11"/>
      <c r="I100" s="11"/>
      <c r="J100" s="11"/>
      <c r="K100" s="11"/>
      <c r="L100" s="11"/>
      <c r="M100" s="11"/>
    </row>
    <row r="101" spans="4:13" x14ac:dyDescent="0.25">
      <c r="D101" s="11"/>
      <c r="E101" s="11"/>
      <c r="F101" s="11"/>
      <c r="G101" s="11"/>
      <c r="H101" s="11"/>
      <c r="I101" s="11"/>
      <c r="J101" s="11"/>
      <c r="K101" s="11"/>
      <c r="L101" s="11"/>
      <c r="M101" s="11"/>
    </row>
    <row r="102" spans="4:13" x14ac:dyDescent="0.25">
      <c r="D102" s="11"/>
      <c r="E102" s="11"/>
      <c r="F102" s="11"/>
      <c r="G102" s="11"/>
      <c r="H102" s="11"/>
      <c r="I102" s="11"/>
      <c r="J102" s="11"/>
      <c r="K102" s="11"/>
      <c r="L102" s="11"/>
      <c r="M102" s="11"/>
    </row>
    <row r="103" spans="4:13" x14ac:dyDescent="0.25">
      <c r="D103" s="11"/>
      <c r="E103" s="11"/>
      <c r="F103" s="11"/>
      <c r="G103" s="11"/>
      <c r="H103" s="11"/>
      <c r="I103" s="11"/>
      <c r="J103" s="11"/>
      <c r="K103" s="11"/>
      <c r="L103" s="11"/>
      <c r="M103" s="11"/>
    </row>
    <row r="104" spans="4:13" x14ac:dyDescent="0.25">
      <c r="D104" s="11"/>
      <c r="E104" s="11"/>
      <c r="F104" s="11"/>
      <c r="G104" s="11"/>
      <c r="H104" s="11"/>
      <c r="I104" s="11"/>
      <c r="J104" s="11"/>
      <c r="K104" s="11"/>
      <c r="L104" s="11"/>
      <c r="M104" s="11"/>
    </row>
    <row r="105" spans="4:13" x14ac:dyDescent="0.25">
      <c r="D105" s="11"/>
      <c r="E105" s="11"/>
      <c r="F105" s="11"/>
      <c r="G105" s="11"/>
      <c r="H105" s="11"/>
      <c r="I105" s="11"/>
      <c r="J105" s="11"/>
      <c r="K105" s="11"/>
      <c r="L105" s="11"/>
      <c r="M105" s="11"/>
    </row>
    <row r="106" spans="4:13" x14ac:dyDescent="0.25">
      <c r="D106" s="11"/>
      <c r="E106" s="11"/>
      <c r="F106" s="11"/>
      <c r="G106" s="11"/>
      <c r="H106" s="11"/>
      <c r="I106" s="11"/>
      <c r="J106" s="11"/>
      <c r="K106" s="11"/>
      <c r="L106" s="11"/>
      <c r="M106" s="11"/>
    </row>
    <row r="107" spans="4:13" x14ac:dyDescent="0.25">
      <c r="D107" s="11"/>
      <c r="E107" s="11"/>
      <c r="F107" s="11"/>
      <c r="G107" s="11"/>
      <c r="H107" s="11"/>
      <c r="I107" s="11"/>
      <c r="J107" s="11"/>
      <c r="K107" s="11"/>
      <c r="L107" s="11"/>
      <c r="M107" s="11"/>
    </row>
    <row r="108" spans="4:13" x14ac:dyDescent="0.25">
      <c r="D108" s="11"/>
      <c r="E108" s="11"/>
      <c r="F108" s="11"/>
      <c r="G108" s="11"/>
      <c r="H108" s="11"/>
      <c r="I108" s="11"/>
      <c r="J108" s="11"/>
      <c r="K108" s="11"/>
      <c r="L108" s="11"/>
      <c r="M108" s="11"/>
    </row>
    <row r="109" spans="4:13" x14ac:dyDescent="0.25">
      <c r="D109" s="11"/>
      <c r="E109" s="11"/>
      <c r="F109" s="11"/>
      <c r="G109" s="11"/>
      <c r="H109" s="11"/>
      <c r="I109" s="11"/>
      <c r="J109" s="11"/>
      <c r="K109" s="11"/>
      <c r="L109" s="11"/>
      <c r="M109" s="11"/>
    </row>
    <row r="110" spans="4:13" x14ac:dyDescent="0.25">
      <c r="D110" s="11"/>
      <c r="E110" s="11"/>
      <c r="F110" s="11"/>
      <c r="G110" s="11"/>
      <c r="H110" s="11"/>
      <c r="I110" s="11"/>
      <c r="J110" s="11"/>
      <c r="K110" s="11"/>
      <c r="L110" s="11"/>
      <c r="M110" s="11"/>
    </row>
    <row r="111" spans="4:13" x14ac:dyDescent="0.25">
      <c r="D111" s="11"/>
      <c r="E111" s="11"/>
      <c r="F111" s="11"/>
      <c r="G111" s="11"/>
      <c r="H111" s="11"/>
      <c r="I111" s="11"/>
      <c r="J111" s="11"/>
      <c r="K111" s="11"/>
      <c r="L111" s="11"/>
      <c r="M111" s="11"/>
    </row>
    <row r="112" spans="4:13" x14ac:dyDescent="0.25">
      <c r="D112" s="11"/>
      <c r="E112" s="11"/>
      <c r="F112" s="11"/>
      <c r="G112" s="11"/>
      <c r="H112" s="11"/>
      <c r="I112" s="11"/>
      <c r="J112" s="11"/>
      <c r="K112" s="11"/>
      <c r="L112" s="11"/>
      <c r="M112" s="11"/>
    </row>
    <row r="113" spans="4:13" x14ac:dyDescent="0.25">
      <c r="D113" s="11"/>
      <c r="E113" s="11"/>
      <c r="F113" s="11"/>
      <c r="G113" s="11"/>
      <c r="H113" s="11"/>
      <c r="I113" s="11"/>
      <c r="J113" s="11"/>
      <c r="K113" s="11"/>
      <c r="L113" s="11"/>
      <c r="M113" s="11"/>
    </row>
    <row r="114" spans="4:13" x14ac:dyDescent="0.25">
      <c r="D114" s="11"/>
      <c r="E114" s="11"/>
      <c r="F114" s="11"/>
      <c r="G114" s="11"/>
      <c r="H114" s="11"/>
      <c r="I114" s="11"/>
      <c r="J114" s="11"/>
      <c r="K114" s="11"/>
      <c r="L114" s="11"/>
      <c r="M114" s="11"/>
    </row>
    <row r="115" spans="4:13" x14ac:dyDescent="0.25">
      <c r="D115" s="11"/>
      <c r="E115" s="11"/>
      <c r="F115" s="11"/>
      <c r="G115" s="11"/>
      <c r="H115" s="11"/>
      <c r="I115" s="11"/>
      <c r="J115" s="11"/>
      <c r="K115" s="11"/>
      <c r="L115" s="11"/>
      <c r="M115" s="11"/>
    </row>
    <row r="116" spans="4:13" x14ac:dyDescent="0.25">
      <c r="D116" s="11"/>
      <c r="E116" s="11"/>
      <c r="F116" s="11"/>
      <c r="G116" s="11"/>
      <c r="H116" s="11"/>
      <c r="I116" s="11"/>
      <c r="J116" s="11"/>
      <c r="K116" s="11"/>
      <c r="L116" s="11"/>
      <c r="M116" s="11"/>
    </row>
    <row r="117" spans="4:13" x14ac:dyDescent="0.25">
      <c r="D117" s="11"/>
      <c r="E117" s="11"/>
      <c r="F117" s="11"/>
      <c r="G117" s="11"/>
      <c r="H117" s="11"/>
      <c r="I117" s="11"/>
      <c r="J117" s="11"/>
      <c r="K117" s="11"/>
      <c r="L117" s="11"/>
      <c r="M117" s="11"/>
    </row>
    <row r="118" spans="4:13" x14ac:dyDescent="0.25">
      <c r="D118" s="11"/>
      <c r="E118" s="11"/>
      <c r="F118" s="11"/>
      <c r="G118" s="11"/>
      <c r="H118" s="11"/>
      <c r="I118" s="11"/>
      <c r="J118" s="11"/>
      <c r="K118" s="11"/>
      <c r="L118" s="11"/>
      <c r="M118" s="11"/>
    </row>
    <row r="119" spans="4:13" x14ac:dyDescent="0.25">
      <c r="D119" s="11"/>
      <c r="E119" s="11"/>
      <c r="F119" s="11"/>
      <c r="G119" s="11"/>
      <c r="H119" s="11"/>
      <c r="I119" s="11"/>
      <c r="J119" s="11"/>
      <c r="K119" s="11"/>
      <c r="L119" s="11"/>
      <c r="M119" s="11"/>
    </row>
    <row r="120" spans="4:13" x14ac:dyDescent="0.25">
      <c r="D120" s="11"/>
      <c r="E120" s="11"/>
      <c r="F120" s="11"/>
      <c r="G120" s="11"/>
      <c r="H120" s="11"/>
      <c r="I120" s="11"/>
      <c r="J120" s="11"/>
      <c r="K120" s="11"/>
      <c r="L120" s="11"/>
      <c r="M120" s="11"/>
    </row>
    <row r="121" spans="4:13" x14ac:dyDescent="0.25">
      <c r="D121" s="11"/>
      <c r="E121" s="11"/>
      <c r="F121" s="11"/>
      <c r="G121" s="11"/>
      <c r="H121" s="11"/>
      <c r="I121" s="11"/>
      <c r="J121" s="11"/>
      <c r="K121" s="11"/>
      <c r="L121" s="11"/>
      <c r="M121" s="11"/>
    </row>
    <row r="122" spans="4:13" x14ac:dyDescent="0.25">
      <c r="D122" s="11"/>
      <c r="E122" s="11"/>
      <c r="F122" s="11"/>
      <c r="G122" s="11"/>
      <c r="H122" s="11"/>
      <c r="I122" s="11"/>
      <c r="J122" s="11"/>
      <c r="K122" s="11"/>
      <c r="L122" s="11"/>
      <c r="M122" s="11"/>
    </row>
    <row r="123" spans="4:13" x14ac:dyDescent="0.25">
      <c r="D123" s="11"/>
      <c r="E123" s="11"/>
      <c r="F123" s="11"/>
      <c r="G123" s="11"/>
      <c r="H123" s="11"/>
      <c r="I123" s="11"/>
      <c r="J123" s="11"/>
      <c r="K123" s="11"/>
      <c r="L123" s="11"/>
      <c r="M123" s="11"/>
    </row>
    <row r="124" spans="4:13" x14ac:dyDescent="0.25">
      <c r="D124" s="11"/>
      <c r="E124" s="11"/>
      <c r="F124" s="11"/>
      <c r="G124" s="11"/>
      <c r="H124" s="11"/>
      <c r="I124" s="11"/>
      <c r="J124" s="11"/>
      <c r="K124" s="11"/>
      <c r="L124" s="11"/>
      <c r="M124" s="11"/>
    </row>
    <row r="125" spans="4:13" x14ac:dyDescent="0.25">
      <c r="D125" s="11"/>
      <c r="E125" s="11"/>
      <c r="F125" s="11"/>
      <c r="G125" s="11"/>
      <c r="H125" s="11"/>
      <c r="I125" s="11"/>
      <c r="J125" s="11"/>
      <c r="K125" s="11"/>
      <c r="L125" s="11"/>
      <c r="M125" s="11"/>
    </row>
    <row r="126" spans="4:13" x14ac:dyDescent="0.25">
      <c r="D126" s="11"/>
      <c r="E126" s="11"/>
      <c r="F126" s="11"/>
      <c r="G126" s="11"/>
      <c r="H126" s="11"/>
      <c r="I126" s="11"/>
      <c r="J126" s="11"/>
      <c r="K126" s="11"/>
      <c r="L126" s="11"/>
      <c r="M126" s="11"/>
    </row>
    <row r="127" spans="4:13" x14ac:dyDescent="0.25">
      <c r="D127" s="11"/>
      <c r="E127" s="11"/>
      <c r="F127" s="11"/>
      <c r="G127" s="11"/>
      <c r="H127" s="11"/>
      <c r="I127" s="11"/>
      <c r="J127" s="11"/>
      <c r="K127" s="11"/>
      <c r="L127" s="11"/>
      <c r="M127" s="11"/>
    </row>
    <row r="128" spans="4:13" x14ac:dyDescent="0.25">
      <c r="D128" s="11"/>
      <c r="E128" s="11"/>
      <c r="F128" s="11"/>
      <c r="G128" s="11"/>
      <c r="H128" s="11"/>
      <c r="I128" s="11"/>
      <c r="J128" s="11"/>
      <c r="K128" s="11"/>
      <c r="L128" s="11"/>
      <c r="M128" s="11"/>
    </row>
    <row r="129" spans="4:13" x14ac:dyDescent="0.25">
      <c r="D129" s="11"/>
      <c r="E129" s="11"/>
      <c r="F129" s="11"/>
      <c r="G129" s="11"/>
      <c r="H129" s="11"/>
      <c r="I129" s="11"/>
      <c r="J129" s="11"/>
      <c r="K129" s="11"/>
      <c r="L129" s="11"/>
      <c r="M129" s="11"/>
    </row>
    <row r="130" spans="4:13" x14ac:dyDescent="0.25">
      <c r="D130" s="11"/>
      <c r="E130" s="11"/>
      <c r="F130" s="11"/>
      <c r="G130" s="11"/>
      <c r="H130" s="11"/>
      <c r="I130" s="11"/>
      <c r="J130" s="11"/>
      <c r="K130" s="11"/>
      <c r="L130" s="11"/>
      <c r="M130" s="11"/>
    </row>
    <row r="131" spans="4:13" x14ac:dyDescent="0.25">
      <c r="D131" s="11"/>
      <c r="E131" s="11"/>
      <c r="F131" s="11"/>
      <c r="G131" s="11"/>
      <c r="H131" s="11"/>
      <c r="I131" s="11"/>
      <c r="J131" s="11"/>
      <c r="K131" s="11"/>
      <c r="L131" s="11"/>
      <c r="M131" s="11"/>
    </row>
    <row r="132" spans="4:13" x14ac:dyDescent="0.25">
      <c r="D132" s="11"/>
      <c r="E132" s="11"/>
      <c r="F132" s="11"/>
      <c r="G132" s="11"/>
      <c r="H132" s="11"/>
      <c r="I132" s="11"/>
      <c r="J132" s="11"/>
      <c r="K132" s="11"/>
      <c r="L132" s="11"/>
      <c r="M132" s="11"/>
    </row>
    <row r="133" spans="4:13" x14ac:dyDescent="0.25">
      <c r="D133" s="11"/>
      <c r="E133" s="11"/>
      <c r="F133" s="11"/>
      <c r="G133" s="11"/>
      <c r="H133" s="11"/>
      <c r="I133" s="11"/>
      <c r="J133" s="11"/>
      <c r="K133" s="11"/>
      <c r="L133" s="11"/>
      <c r="M133" s="11"/>
    </row>
    <row r="134" spans="4:13" x14ac:dyDescent="0.25">
      <c r="D134" s="11"/>
      <c r="E134" s="11"/>
      <c r="F134" s="11"/>
      <c r="G134" s="11"/>
      <c r="H134" s="11"/>
      <c r="I134" s="11"/>
      <c r="J134" s="11"/>
      <c r="K134" s="11"/>
      <c r="L134" s="11"/>
      <c r="M134" s="11"/>
    </row>
  </sheetData>
  <mergeCells count="5">
    <mergeCell ref="A35:M35"/>
    <mergeCell ref="D3:M3"/>
    <mergeCell ref="B3:C3"/>
    <mergeCell ref="A31:B31"/>
    <mergeCell ref="A34:M34"/>
  </mergeCells>
  <pageMargins left="0.7" right="0.7" top="0.75" bottom="0.75" header="0.3" footer="0.3"/>
  <pageSetup paperSize="9" scale="8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7"/>
  <sheetViews>
    <sheetView workbookViewId="0"/>
  </sheetViews>
  <sheetFormatPr baseColWidth="10" defaultRowHeight="15" x14ac:dyDescent="0.25"/>
  <cols>
    <col min="1" max="1" width="53.140625" customWidth="1"/>
    <col min="3" max="3" width="17.7109375" customWidth="1"/>
    <col min="12" max="12" width="16.7109375" customWidth="1"/>
  </cols>
  <sheetData>
    <row r="1" spans="1:13" s="56" customFormat="1" x14ac:dyDescent="0.25">
      <c r="A1" s="97" t="s">
        <v>172</v>
      </c>
      <c r="B1" s="33"/>
      <c r="C1" s="33"/>
      <c r="D1" s="33"/>
      <c r="E1" s="33"/>
      <c r="F1" s="33"/>
      <c r="G1" s="33"/>
      <c r="H1" s="33"/>
      <c r="I1" s="33"/>
      <c r="J1" s="33"/>
      <c r="K1" s="59"/>
      <c r="L1" s="33"/>
      <c r="M1" s="33"/>
    </row>
    <row r="2" spans="1:13" x14ac:dyDescent="0.25">
      <c r="J2" s="304" t="s">
        <v>135</v>
      </c>
      <c r="K2" s="292"/>
      <c r="L2" s="292"/>
    </row>
    <row r="3" spans="1:13" x14ac:dyDescent="0.25">
      <c r="A3" s="40"/>
      <c r="B3" s="137" t="s">
        <v>7</v>
      </c>
      <c r="C3" s="138" t="s">
        <v>150</v>
      </c>
      <c r="D3" s="138" t="s">
        <v>65</v>
      </c>
      <c r="E3" s="138" t="s">
        <v>66</v>
      </c>
      <c r="F3" s="138" t="s">
        <v>67</v>
      </c>
      <c r="G3" s="138" t="s">
        <v>68</v>
      </c>
      <c r="H3" s="138" t="s">
        <v>69</v>
      </c>
      <c r="I3" s="138" t="s">
        <v>70</v>
      </c>
      <c r="J3" s="138" t="s">
        <v>71</v>
      </c>
      <c r="K3" s="138" t="s">
        <v>72</v>
      </c>
      <c r="L3" s="138" t="s">
        <v>73</v>
      </c>
    </row>
    <row r="4" spans="1:13" x14ac:dyDescent="0.25">
      <c r="A4" s="211" t="s">
        <v>1</v>
      </c>
      <c r="B4" s="220">
        <v>10900</v>
      </c>
      <c r="C4" s="159">
        <v>7480</v>
      </c>
      <c r="D4" s="159">
        <v>8990</v>
      </c>
      <c r="E4" s="159">
        <v>9680</v>
      </c>
      <c r="F4" s="159">
        <v>9960</v>
      </c>
      <c r="G4" s="159">
        <v>10180</v>
      </c>
      <c r="H4" s="159">
        <v>10740</v>
      </c>
      <c r="I4" s="159">
        <v>11390</v>
      </c>
      <c r="J4" s="159">
        <v>11750</v>
      </c>
      <c r="K4" s="159">
        <v>13510</v>
      </c>
      <c r="L4" s="159">
        <v>15500</v>
      </c>
    </row>
    <row r="5" spans="1:13" x14ac:dyDescent="0.25">
      <c r="A5" s="212" t="s">
        <v>2</v>
      </c>
      <c r="B5" s="220">
        <v>7220</v>
      </c>
      <c r="C5" s="159">
        <v>1280</v>
      </c>
      <c r="D5" s="159">
        <v>3490</v>
      </c>
      <c r="E5" s="159">
        <v>5210</v>
      </c>
      <c r="F5" s="159">
        <v>6240</v>
      </c>
      <c r="G5" s="159">
        <v>6870</v>
      </c>
      <c r="H5" s="159">
        <v>7520</v>
      </c>
      <c r="I5" s="159">
        <v>8630</v>
      </c>
      <c r="J5" s="159">
        <v>9130</v>
      </c>
      <c r="K5" s="159">
        <v>11120</v>
      </c>
      <c r="L5" s="159">
        <v>12670</v>
      </c>
    </row>
    <row r="6" spans="1:13" x14ac:dyDescent="0.25">
      <c r="A6" s="212" t="s">
        <v>4</v>
      </c>
      <c r="B6" s="221">
        <v>1860</v>
      </c>
      <c r="C6" s="213">
        <v>1520</v>
      </c>
      <c r="D6" s="213">
        <v>1870</v>
      </c>
      <c r="E6" s="213">
        <v>1880</v>
      </c>
      <c r="F6" s="213">
        <v>1780</v>
      </c>
      <c r="G6" s="213">
        <v>1760</v>
      </c>
      <c r="H6" s="213">
        <v>1860</v>
      </c>
      <c r="I6" s="213">
        <v>1670</v>
      </c>
      <c r="J6" s="213">
        <v>1840</v>
      </c>
      <c r="K6" s="213">
        <v>1910</v>
      </c>
      <c r="L6" s="213">
        <v>2540</v>
      </c>
    </row>
    <row r="7" spans="1:13" x14ac:dyDescent="0.25">
      <c r="A7" s="212" t="s">
        <v>3</v>
      </c>
      <c r="B7" s="221">
        <v>1820</v>
      </c>
      <c r="C7" s="213">
        <v>4680</v>
      </c>
      <c r="D7" s="213">
        <v>3630</v>
      </c>
      <c r="E7" s="213">
        <v>2590</v>
      </c>
      <c r="F7" s="213">
        <v>1940</v>
      </c>
      <c r="G7" s="213">
        <v>1550</v>
      </c>
      <c r="H7" s="213">
        <v>1360</v>
      </c>
      <c r="I7" s="213">
        <v>1100</v>
      </c>
      <c r="J7" s="213">
        <v>780</v>
      </c>
      <c r="K7" s="213">
        <v>480</v>
      </c>
      <c r="L7" s="213">
        <v>290</v>
      </c>
    </row>
    <row r="8" spans="1:13" x14ac:dyDescent="0.25">
      <c r="A8" s="212" t="s">
        <v>21</v>
      </c>
      <c r="B8" s="220">
        <v>8800</v>
      </c>
      <c r="C8" s="159">
        <v>12580</v>
      </c>
      <c r="D8" s="159">
        <v>11980</v>
      </c>
      <c r="E8" s="159">
        <v>10100</v>
      </c>
      <c r="F8" s="159">
        <v>8940</v>
      </c>
      <c r="G8" s="159">
        <v>8270</v>
      </c>
      <c r="H8" s="159">
        <v>7790</v>
      </c>
      <c r="I8" s="159">
        <v>7640</v>
      </c>
      <c r="J8" s="159">
        <v>7260</v>
      </c>
      <c r="K8" s="159">
        <v>7330</v>
      </c>
      <c r="L8" s="159">
        <v>6270</v>
      </c>
    </row>
    <row r="9" spans="1:13" x14ac:dyDescent="0.25">
      <c r="A9" s="212" t="s">
        <v>22</v>
      </c>
      <c r="B9" s="220">
        <v>4130</v>
      </c>
      <c r="C9" s="159">
        <v>4310</v>
      </c>
      <c r="D9" s="159">
        <v>4030</v>
      </c>
      <c r="E9" s="159">
        <v>3850</v>
      </c>
      <c r="F9" s="159">
        <v>3900</v>
      </c>
      <c r="G9" s="159">
        <v>3790</v>
      </c>
      <c r="H9" s="159">
        <v>3910</v>
      </c>
      <c r="I9" s="159">
        <v>3930</v>
      </c>
      <c r="J9" s="159">
        <v>4060</v>
      </c>
      <c r="K9" s="159">
        <v>4320</v>
      </c>
      <c r="L9" s="159">
        <v>5140</v>
      </c>
    </row>
    <row r="10" spans="1:13" ht="26.25" x14ac:dyDescent="0.25">
      <c r="A10" s="214" t="s">
        <v>167</v>
      </c>
      <c r="B10" s="220">
        <v>4130</v>
      </c>
      <c r="C10" s="159">
        <v>3500</v>
      </c>
      <c r="D10" s="159">
        <v>3490</v>
      </c>
      <c r="E10" s="159">
        <v>3520</v>
      </c>
      <c r="F10" s="159">
        <v>3630</v>
      </c>
      <c r="G10" s="159">
        <v>3680</v>
      </c>
      <c r="H10" s="159">
        <v>3850</v>
      </c>
      <c r="I10" s="159">
        <v>4000</v>
      </c>
      <c r="J10" s="159">
        <v>4240</v>
      </c>
      <c r="K10" s="159">
        <v>4640</v>
      </c>
      <c r="L10" s="159">
        <v>6640</v>
      </c>
    </row>
    <row r="11" spans="1:13" ht="27.75" x14ac:dyDescent="0.25">
      <c r="A11" s="214" t="s">
        <v>166</v>
      </c>
      <c r="B11" s="220">
        <v>4130</v>
      </c>
      <c r="C11" s="159">
        <v>3800</v>
      </c>
      <c r="D11" s="159">
        <v>3730</v>
      </c>
      <c r="E11" s="159">
        <v>3670</v>
      </c>
      <c r="F11" s="159">
        <v>3710</v>
      </c>
      <c r="G11" s="159">
        <v>3720</v>
      </c>
      <c r="H11" s="159">
        <v>3850</v>
      </c>
      <c r="I11" s="159">
        <v>3970</v>
      </c>
      <c r="J11" s="159">
        <v>4160</v>
      </c>
      <c r="K11" s="159">
        <v>4500</v>
      </c>
      <c r="L11" s="159">
        <v>6100</v>
      </c>
    </row>
    <row r="12" spans="1:13" x14ac:dyDescent="0.25">
      <c r="A12" s="215" t="s">
        <v>7</v>
      </c>
      <c r="B12" s="220">
        <v>34720</v>
      </c>
      <c r="C12" s="159">
        <v>24370</v>
      </c>
      <c r="D12" s="159">
        <v>25000</v>
      </c>
      <c r="E12" s="159">
        <v>23630</v>
      </c>
      <c r="F12" s="159">
        <v>22800</v>
      </c>
      <c r="G12" s="159">
        <v>22240</v>
      </c>
      <c r="H12" s="159">
        <v>22440</v>
      </c>
      <c r="I12" s="159">
        <v>22970</v>
      </c>
      <c r="J12" s="159">
        <v>23070</v>
      </c>
      <c r="K12" s="159">
        <v>25160</v>
      </c>
      <c r="L12" s="159">
        <v>26910</v>
      </c>
    </row>
    <row r="13" spans="1:13" x14ac:dyDescent="0.25">
      <c r="A13" s="216" t="s">
        <v>40</v>
      </c>
      <c r="B13" s="222">
        <v>27500</v>
      </c>
      <c r="C13" s="217">
        <v>23090</v>
      </c>
      <c r="D13" s="217">
        <v>21510</v>
      </c>
      <c r="E13" s="217">
        <v>18420</v>
      </c>
      <c r="F13" s="217">
        <v>16560</v>
      </c>
      <c r="G13" s="217">
        <v>15370</v>
      </c>
      <c r="H13" s="217">
        <v>14930</v>
      </c>
      <c r="I13" s="217">
        <v>14340</v>
      </c>
      <c r="J13" s="217">
        <v>13940</v>
      </c>
      <c r="K13" s="217">
        <v>14040</v>
      </c>
      <c r="L13" s="217">
        <v>14250</v>
      </c>
    </row>
    <row r="14" spans="1:13" x14ac:dyDescent="0.25">
      <c r="A14" s="72" t="s">
        <v>106</v>
      </c>
      <c r="B14" s="31"/>
      <c r="C14" s="31"/>
      <c r="D14" s="31"/>
      <c r="E14" s="31"/>
      <c r="F14" s="31"/>
      <c r="G14" s="31"/>
      <c r="H14" s="31"/>
    </row>
    <row r="15" spans="1:13" ht="25.5" customHeight="1" x14ac:dyDescent="0.25">
      <c r="A15" s="293" t="s">
        <v>220</v>
      </c>
      <c r="B15" s="303"/>
      <c r="C15" s="303"/>
      <c r="D15" s="303"/>
      <c r="E15" s="303"/>
      <c r="F15" s="303"/>
      <c r="G15" s="303"/>
      <c r="H15" s="303"/>
    </row>
    <row r="16" spans="1:13" x14ac:dyDescent="0.25">
      <c r="A16" s="34" t="s">
        <v>82</v>
      </c>
      <c r="B16" s="31"/>
      <c r="C16" s="31"/>
      <c r="D16" s="31"/>
      <c r="E16" s="31"/>
      <c r="F16" s="31"/>
      <c r="G16" s="31"/>
      <c r="H16" s="31"/>
    </row>
    <row r="17" spans="1:8" x14ac:dyDescent="0.25">
      <c r="A17" s="65" t="s">
        <v>20</v>
      </c>
      <c r="B17" s="31"/>
      <c r="C17" s="31"/>
      <c r="D17" s="31"/>
      <c r="E17" s="31"/>
      <c r="F17" s="31"/>
      <c r="G17" s="31"/>
      <c r="H17" s="31"/>
    </row>
  </sheetData>
  <mergeCells count="2">
    <mergeCell ref="A15:H15"/>
    <mergeCell ref="J2:L2"/>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6"/>
  <sheetViews>
    <sheetView zoomScaleNormal="100" workbookViewId="0"/>
  </sheetViews>
  <sheetFormatPr baseColWidth="10" defaultRowHeight="15" x14ac:dyDescent="0.25"/>
  <cols>
    <col min="1" max="1" width="38.140625" customWidth="1"/>
    <col min="2" max="2" width="20.140625" customWidth="1"/>
    <col min="3" max="3" width="15.85546875" customWidth="1"/>
    <col min="12" max="12" width="16.42578125" customWidth="1"/>
    <col min="13" max="13" width="17.5703125" customWidth="1"/>
  </cols>
  <sheetData>
    <row r="1" spans="1:13" ht="15.75" x14ac:dyDescent="0.25">
      <c r="A1" s="143" t="s">
        <v>144</v>
      </c>
      <c r="B1" s="143"/>
      <c r="C1" s="13"/>
      <c r="D1" s="13"/>
      <c r="E1" s="75"/>
      <c r="F1" s="76"/>
      <c r="G1" s="77"/>
      <c r="H1" s="78"/>
      <c r="I1" s="78"/>
      <c r="J1" s="59"/>
      <c r="K1" s="79"/>
      <c r="L1" s="12"/>
      <c r="M1" s="12"/>
    </row>
    <row r="2" spans="1:13" ht="15.75" x14ac:dyDescent="0.25">
      <c r="A2" s="8"/>
      <c r="B2" s="8"/>
      <c r="C2" s="13"/>
      <c r="D2" s="13"/>
      <c r="E2" s="59"/>
      <c r="F2" s="59"/>
      <c r="G2" s="59"/>
      <c r="H2" s="59"/>
      <c r="I2" s="59"/>
      <c r="J2" s="59"/>
      <c r="K2" s="59"/>
      <c r="M2" s="32"/>
    </row>
    <row r="3" spans="1:13" x14ac:dyDescent="0.25">
      <c r="A3" s="59"/>
      <c r="B3" s="307" t="s">
        <v>168</v>
      </c>
      <c r="C3" s="308"/>
      <c r="D3" s="308"/>
      <c r="E3" s="308"/>
      <c r="F3" s="308"/>
      <c r="G3" s="308"/>
      <c r="H3" s="308"/>
      <c r="I3" s="308"/>
      <c r="J3" s="308"/>
      <c r="K3" s="308"/>
      <c r="L3" s="309"/>
    </row>
    <row r="4" spans="1:13" ht="25.5" x14ac:dyDescent="0.25">
      <c r="A4" s="29"/>
      <c r="B4" s="218" t="s">
        <v>88</v>
      </c>
      <c r="C4" s="219" t="s">
        <v>150</v>
      </c>
      <c r="D4" s="219" t="s">
        <v>65</v>
      </c>
      <c r="E4" s="219" t="s">
        <v>66</v>
      </c>
      <c r="F4" s="219" t="s">
        <v>67</v>
      </c>
      <c r="G4" s="219" t="s">
        <v>68</v>
      </c>
      <c r="H4" s="219" t="s">
        <v>69</v>
      </c>
      <c r="I4" s="219" t="s">
        <v>70</v>
      </c>
      <c r="J4" s="219" t="s">
        <v>71</v>
      </c>
      <c r="K4" s="219" t="s">
        <v>72</v>
      </c>
      <c r="L4" s="219" t="s">
        <v>73</v>
      </c>
      <c r="M4" s="196"/>
    </row>
    <row r="5" spans="1:13" x14ac:dyDescent="0.25">
      <c r="A5" s="139" t="s">
        <v>55</v>
      </c>
      <c r="B5" s="140">
        <v>81.900000000000006</v>
      </c>
      <c r="C5" s="154">
        <v>14.6</v>
      </c>
      <c r="D5" s="154">
        <v>13.6</v>
      </c>
      <c r="E5" s="154">
        <v>11.7</v>
      </c>
      <c r="F5" s="154">
        <v>10.9</v>
      </c>
      <c r="G5" s="154">
        <v>10</v>
      </c>
      <c r="H5" s="154">
        <v>8.6999999999999993</v>
      </c>
      <c r="I5" s="154">
        <v>8.1999999999999993</v>
      </c>
      <c r="J5" s="154">
        <v>7.9</v>
      </c>
      <c r="K5" s="154">
        <v>7</v>
      </c>
      <c r="L5" s="154">
        <v>7.4</v>
      </c>
      <c r="M5" s="197"/>
    </row>
    <row r="6" spans="1:13" x14ac:dyDescent="0.25">
      <c r="A6" s="73" t="s">
        <v>56</v>
      </c>
      <c r="B6" s="140">
        <v>34.200000000000003</v>
      </c>
      <c r="C6" s="155">
        <v>14</v>
      </c>
      <c r="D6" s="155">
        <v>13.5</v>
      </c>
      <c r="E6" s="155">
        <v>10.8</v>
      </c>
      <c r="F6" s="155">
        <v>10.1</v>
      </c>
      <c r="G6" s="155">
        <v>10</v>
      </c>
      <c r="H6" s="155">
        <v>9.3000000000000007</v>
      </c>
      <c r="I6" s="155">
        <v>8.6999999999999993</v>
      </c>
      <c r="J6" s="155">
        <v>8.1</v>
      </c>
      <c r="K6" s="155">
        <v>7.5</v>
      </c>
      <c r="L6" s="155">
        <v>7.9</v>
      </c>
      <c r="M6" s="197"/>
    </row>
    <row r="7" spans="1:13" x14ac:dyDescent="0.25">
      <c r="A7" s="73" t="s">
        <v>57</v>
      </c>
      <c r="B7" s="140">
        <v>27.2</v>
      </c>
      <c r="C7" s="155">
        <v>14.3</v>
      </c>
      <c r="D7" s="155">
        <v>13.2</v>
      </c>
      <c r="E7" s="155">
        <v>11.5</v>
      </c>
      <c r="F7" s="155">
        <v>11.1</v>
      </c>
      <c r="G7" s="155">
        <v>10.5</v>
      </c>
      <c r="H7" s="155">
        <v>8.8000000000000007</v>
      </c>
      <c r="I7" s="155">
        <v>8</v>
      </c>
      <c r="J7" s="155">
        <v>7.7</v>
      </c>
      <c r="K7" s="155">
        <v>6.9</v>
      </c>
      <c r="L7" s="155">
        <v>7.9</v>
      </c>
      <c r="M7" s="197"/>
    </row>
    <row r="8" spans="1:13" x14ac:dyDescent="0.25">
      <c r="A8" s="73" t="s">
        <v>58</v>
      </c>
      <c r="B8" s="140">
        <v>9.3000000000000007</v>
      </c>
      <c r="C8" s="155">
        <v>11.8</v>
      </c>
      <c r="D8" s="155">
        <v>12</v>
      </c>
      <c r="E8" s="155">
        <v>12</v>
      </c>
      <c r="F8" s="155">
        <v>10.7</v>
      </c>
      <c r="G8" s="155">
        <v>8.1</v>
      </c>
      <c r="H8" s="155">
        <v>8.4</v>
      </c>
      <c r="I8" s="155">
        <v>9.3000000000000007</v>
      </c>
      <c r="J8" s="155">
        <v>9.1999999999999993</v>
      </c>
      <c r="K8" s="155">
        <v>9</v>
      </c>
      <c r="L8" s="155">
        <v>9.5</v>
      </c>
      <c r="M8" s="197"/>
    </row>
    <row r="9" spans="1:13" x14ac:dyDescent="0.25">
      <c r="A9" s="73" t="s">
        <v>59</v>
      </c>
      <c r="B9" s="140">
        <v>11.2</v>
      </c>
      <c r="C9" s="155">
        <v>19.399999999999999</v>
      </c>
      <c r="D9" s="155">
        <v>16</v>
      </c>
      <c r="E9" s="155">
        <v>14.5</v>
      </c>
      <c r="F9" s="155">
        <v>12.7</v>
      </c>
      <c r="G9" s="155">
        <v>10.3</v>
      </c>
      <c r="H9" s="155">
        <v>7</v>
      </c>
      <c r="I9" s="155">
        <v>6.2</v>
      </c>
      <c r="J9" s="155">
        <v>6.7</v>
      </c>
      <c r="K9" s="155">
        <v>4.0999999999999996</v>
      </c>
      <c r="L9" s="155">
        <v>3</v>
      </c>
      <c r="M9" s="197"/>
    </row>
    <row r="10" spans="1:13" x14ac:dyDescent="0.25">
      <c r="A10" s="141" t="s">
        <v>87</v>
      </c>
      <c r="B10" s="140">
        <v>22.1</v>
      </c>
      <c r="C10" s="154">
        <v>16.100000000000001</v>
      </c>
      <c r="D10" s="154">
        <v>8.4</v>
      </c>
      <c r="E10" s="154">
        <v>9.8000000000000007</v>
      </c>
      <c r="F10" s="154">
        <v>8.9</v>
      </c>
      <c r="G10" s="154">
        <v>8.6999999999999993</v>
      </c>
      <c r="H10" s="154">
        <v>9.1</v>
      </c>
      <c r="I10" s="154">
        <v>7.8</v>
      </c>
      <c r="J10" s="154">
        <v>9.3000000000000007</v>
      </c>
      <c r="K10" s="154">
        <v>10</v>
      </c>
      <c r="L10" s="154">
        <v>11.9</v>
      </c>
      <c r="M10" s="197"/>
    </row>
    <row r="11" spans="1:13" x14ac:dyDescent="0.25">
      <c r="A11" s="73" t="s">
        <v>145</v>
      </c>
      <c r="B11" s="140">
        <v>19.399999999999999</v>
      </c>
      <c r="C11" s="155">
        <v>16.8</v>
      </c>
      <c r="D11" s="155">
        <v>8.8000000000000007</v>
      </c>
      <c r="E11" s="155">
        <v>10.6</v>
      </c>
      <c r="F11" s="155">
        <v>8.9</v>
      </c>
      <c r="G11" s="155">
        <v>9</v>
      </c>
      <c r="H11" s="155">
        <v>9.5</v>
      </c>
      <c r="I11" s="155">
        <v>7.6</v>
      </c>
      <c r="J11" s="155">
        <v>9.5</v>
      </c>
      <c r="K11" s="155">
        <v>9.1999999999999993</v>
      </c>
      <c r="L11" s="155">
        <v>10.1</v>
      </c>
      <c r="M11" s="197"/>
    </row>
    <row r="12" spans="1:13" x14ac:dyDescent="0.25">
      <c r="A12" s="74" t="s">
        <v>146</v>
      </c>
      <c r="B12" s="142">
        <v>2.8</v>
      </c>
      <c r="C12" s="156">
        <v>11.1</v>
      </c>
      <c r="D12" s="156">
        <v>5.6</v>
      </c>
      <c r="E12" s="156">
        <v>4.3</v>
      </c>
      <c r="F12" s="156">
        <v>8.6999999999999993</v>
      </c>
      <c r="G12" s="156">
        <v>6.7</v>
      </c>
      <c r="H12" s="156">
        <v>6</v>
      </c>
      <c r="I12" s="156">
        <v>9.6999999999999993</v>
      </c>
      <c r="J12" s="156">
        <v>7.9</v>
      </c>
      <c r="K12" s="156">
        <v>15.7</v>
      </c>
      <c r="L12" s="156">
        <v>24.4</v>
      </c>
      <c r="M12" s="197"/>
    </row>
    <row r="13" spans="1:13" x14ac:dyDescent="0.25">
      <c r="A13" s="96" t="s">
        <v>7</v>
      </c>
      <c r="B13" s="49">
        <v>104.9</v>
      </c>
      <c r="C13" s="46">
        <v>15</v>
      </c>
      <c r="D13" s="47">
        <v>12.5</v>
      </c>
      <c r="E13" s="47">
        <v>11.3</v>
      </c>
      <c r="F13" s="47">
        <v>10.5</v>
      </c>
      <c r="G13" s="47">
        <v>9.6999999999999993</v>
      </c>
      <c r="H13" s="47">
        <v>8.8000000000000007</v>
      </c>
      <c r="I13" s="47">
        <v>8.1</v>
      </c>
      <c r="J13" s="47">
        <v>8.1999999999999993</v>
      </c>
      <c r="K13" s="47">
        <v>7.6</v>
      </c>
      <c r="L13" s="48">
        <v>8.4</v>
      </c>
      <c r="M13" s="198"/>
    </row>
    <row r="14" spans="1:13" ht="32.25" customHeight="1" x14ac:dyDescent="0.25">
      <c r="A14" s="305" t="s">
        <v>147</v>
      </c>
      <c r="B14" s="305"/>
      <c r="C14" s="306"/>
      <c r="D14" s="306"/>
      <c r="E14" s="306"/>
      <c r="F14" s="306"/>
      <c r="G14" s="306"/>
      <c r="H14" s="306"/>
      <c r="I14" s="306"/>
      <c r="J14" s="306"/>
      <c r="K14" s="306"/>
      <c r="L14" s="306"/>
    </row>
    <row r="15" spans="1:13" x14ac:dyDescent="0.25">
      <c r="A15" s="19" t="s">
        <v>82</v>
      </c>
      <c r="B15" s="19"/>
      <c r="C15" s="18"/>
      <c r="D15" s="18"/>
      <c r="E15" s="18"/>
      <c r="F15" s="18"/>
      <c r="G15" s="18"/>
      <c r="H15" s="18"/>
      <c r="I15" s="18"/>
      <c r="J15" s="18"/>
      <c r="K15" s="18"/>
      <c r="L15" s="18"/>
    </row>
    <row r="16" spans="1:13" x14ac:dyDescent="0.25">
      <c r="A16" s="20" t="s">
        <v>20</v>
      </c>
      <c r="B16" s="20"/>
      <c r="C16" s="18"/>
      <c r="D16" s="18"/>
      <c r="E16" s="18"/>
      <c r="F16" s="18"/>
      <c r="G16" s="18"/>
      <c r="H16" s="18"/>
      <c r="I16" s="18"/>
      <c r="J16" s="18"/>
      <c r="K16" s="18"/>
      <c r="L16" s="18"/>
    </row>
  </sheetData>
  <mergeCells count="2">
    <mergeCell ref="A14:L14"/>
    <mergeCell ref="B3:L3"/>
  </mergeCells>
  <pageMargins left="0.7" right="0.7" top="0.75" bottom="0.75" header="0.3" footer="0.3"/>
  <pageSetup paperSize="9" scale="7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241"/>
  <sheetViews>
    <sheetView zoomScaleNormal="100" workbookViewId="0"/>
  </sheetViews>
  <sheetFormatPr baseColWidth="10" defaultRowHeight="15" x14ac:dyDescent="0.25"/>
  <cols>
    <col min="1" max="1" width="11.42578125" style="286"/>
    <col min="2" max="2" width="23.42578125" customWidth="1"/>
  </cols>
  <sheetData>
    <row r="1" spans="1:9" x14ac:dyDescent="0.25">
      <c r="A1" s="280" t="s">
        <v>148</v>
      </c>
      <c r="B1" s="205"/>
      <c r="C1" s="205"/>
      <c r="D1" s="205"/>
      <c r="E1" s="205"/>
      <c r="F1" s="205"/>
      <c r="G1" s="205"/>
      <c r="H1" s="56"/>
      <c r="I1" s="59"/>
    </row>
    <row r="2" spans="1:9" x14ac:dyDescent="0.25">
      <c r="A2" s="313" t="s">
        <v>135</v>
      </c>
      <c r="B2" s="292"/>
    </row>
    <row r="3" spans="1:9" ht="31.5" customHeight="1" x14ac:dyDescent="0.25">
      <c r="A3" s="270" t="s">
        <v>137</v>
      </c>
      <c r="B3" s="146" t="s">
        <v>213</v>
      </c>
    </row>
    <row r="4" spans="1:9" x14ac:dyDescent="0.25">
      <c r="A4" s="281">
        <v>200000172</v>
      </c>
      <c r="B4" s="147">
        <v>1429.6</v>
      </c>
    </row>
    <row r="5" spans="1:9" x14ac:dyDescent="0.25">
      <c r="A5" s="281">
        <v>200000438</v>
      </c>
      <c r="B5" s="148">
        <v>752.3</v>
      </c>
    </row>
    <row r="6" spans="1:9" x14ac:dyDescent="0.25">
      <c r="A6" s="281">
        <v>200000545</v>
      </c>
      <c r="B6" s="147">
        <v>2229.5</v>
      </c>
    </row>
    <row r="7" spans="1:9" x14ac:dyDescent="0.25">
      <c r="A7" s="281">
        <v>200000628</v>
      </c>
      <c r="B7" s="147">
        <v>1230.2</v>
      </c>
    </row>
    <row r="8" spans="1:9" x14ac:dyDescent="0.25">
      <c r="A8" s="281">
        <v>200000800</v>
      </c>
      <c r="B8" s="147">
        <v>1132.2</v>
      </c>
    </row>
    <row r="9" spans="1:9" x14ac:dyDescent="0.25">
      <c r="A9" s="281">
        <v>200000925</v>
      </c>
      <c r="B9" s="147">
        <v>815.2</v>
      </c>
    </row>
    <row r="10" spans="1:9" x14ac:dyDescent="0.25">
      <c r="A10" s="281">
        <v>200000933</v>
      </c>
      <c r="B10" s="147">
        <v>856.9</v>
      </c>
    </row>
    <row r="11" spans="1:9" x14ac:dyDescent="0.25">
      <c r="A11" s="281">
        <v>200004802</v>
      </c>
      <c r="B11" s="147">
        <v>1005.7</v>
      </c>
    </row>
    <row r="12" spans="1:9" x14ac:dyDescent="0.25">
      <c r="A12" s="281">
        <v>200005932</v>
      </c>
      <c r="B12" s="147">
        <v>829.2</v>
      </c>
    </row>
    <row r="13" spans="1:9" x14ac:dyDescent="0.25">
      <c r="A13" s="281">
        <v>200005957</v>
      </c>
      <c r="B13" s="147">
        <v>885.3</v>
      </c>
    </row>
    <row r="14" spans="1:9" x14ac:dyDescent="0.25">
      <c r="A14" s="281">
        <v>200006682</v>
      </c>
      <c r="B14" s="147">
        <v>1208.7</v>
      </c>
    </row>
    <row r="15" spans="1:9" x14ac:dyDescent="0.25">
      <c r="A15" s="281">
        <v>200006716</v>
      </c>
      <c r="B15" s="147">
        <v>1594.1</v>
      </c>
    </row>
    <row r="16" spans="1:9" x14ac:dyDescent="0.25">
      <c r="A16" s="281">
        <v>200006930</v>
      </c>
      <c r="B16" s="147">
        <v>1171.5999999999999</v>
      </c>
    </row>
    <row r="17" spans="1:2" x14ac:dyDescent="0.25">
      <c r="A17" s="281">
        <v>200006971</v>
      </c>
      <c r="B17" s="147">
        <v>1247.2</v>
      </c>
    </row>
    <row r="18" spans="1:2" x14ac:dyDescent="0.25">
      <c r="A18" s="281">
        <v>200007052</v>
      </c>
      <c r="B18" s="147">
        <v>892.1</v>
      </c>
    </row>
    <row r="19" spans="1:2" x14ac:dyDescent="0.25">
      <c r="A19" s="281">
        <v>200007177</v>
      </c>
      <c r="B19" s="147">
        <v>736.1</v>
      </c>
    </row>
    <row r="20" spans="1:2" x14ac:dyDescent="0.25">
      <c r="A20" s="281">
        <v>200010650</v>
      </c>
      <c r="B20" s="147">
        <v>1287.5999999999999</v>
      </c>
    </row>
    <row r="21" spans="1:2" x14ac:dyDescent="0.25">
      <c r="A21" s="281">
        <v>200010700</v>
      </c>
      <c r="B21" s="147">
        <v>1296.5</v>
      </c>
    </row>
    <row r="22" spans="1:2" x14ac:dyDescent="0.25">
      <c r="A22" s="281">
        <v>200011773</v>
      </c>
      <c r="B22" s="147">
        <v>1518.6</v>
      </c>
    </row>
    <row r="23" spans="1:2" x14ac:dyDescent="0.25">
      <c r="A23" s="281">
        <v>200011781</v>
      </c>
      <c r="B23" s="147">
        <v>773.2</v>
      </c>
    </row>
    <row r="24" spans="1:2" x14ac:dyDescent="0.25">
      <c r="A24" s="281">
        <v>200013050</v>
      </c>
      <c r="B24" s="147">
        <v>825.5</v>
      </c>
    </row>
    <row r="25" spans="1:2" x14ac:dyDescent="0.25">
      <c r="A25" s="281">
        <v>200015162</v>
      </c>
      <c r="B25" s="147">
        <v>1560.5</v>
      </c>
    </row>
    <row r="26" spans="1:2" x14ac:dyDescent="0.25">
      <c r="A26" s="281">
        <v>200016905</v>
      </c>
      <c r="B26" s="147">
        <v>623.4</v>
      </c>
    </row>
    <row r="27" spans="1:2" x14ac:dyDescent="0.25">
      <c r="A27" s="281">
        <v>200017341</v>
      </c>
      <c r="B27" s="147">
        <v>1685.2</v>
      </c>
    </row>
    <row r="28" spans="1:2" x14ac:dyDescent="0.25">
      <c r="A28" s="281">
        <v>200017846</v>
      </c>
      <c r="B28" s="147">
        <v>1530.9</v>
      </c>
    </row>
    <row r="29" spans="1:2" x14ac:dyDescent="0.25">
      <c r="A29" s="281">
        <v>200018083</v>
      </c>
      <c r="B29" s="147">
        <v>1243.7</v>
      </c>
    </row>
    <row r="30" spans="1:2" x14ac:dyDescent="0.25">
      <c r="A30" s="281">
        <v>200018166</v>
      </c>
      <c r="B30" s="147">
        <v>1217.2</v>
      </c>
    </row>
    <row r="31" spans="1:2" x14ac:dyDescent="0.25">
      <c r="A31" s="281">
        <v>200018406</v>
      </c>
      <c r="B31" s="147">
        <v>1024.8</v>
      </c>
    </row>
    <row r="32" spans="1:2" x14ac:dyDescent="0.25">
      <c r="A32" s="281">
        <v>200018521</v>
      </c>
      <c r="B32" s="147">
        <v>880.3</v>
      </c>
    </row>
    <row r="33" spans="1:2" x14ac:dyDescent="0.25">
      <c r="A33" s="281">
        <v>200022986</v>
      </c>
      <c r="B33" s="147">
        <v>2240.3000000000002</v>
      </c>
    </row>
    <row r="34" spans="1:2" x14ac:dyDescent="0.25">
      <c r="A34" s="281">
        <v>200023075</v>
      </c>
      <c r="B34" s="147">
        <v>653.9</v>
      </c>
    </row>
    <row r="35" spans="1:2" x14ac:dyDescent="0.25">
      <c r="A35" s="281">
        <v>200023125</v>
      </c>
      <c r="B35" s="147">
        <v>1279.9000000000001</v>
      </c>
    </row>
    <row r="36" spans="1:2" x14ac:dyDescent="0.25">
      <c r="A36" s="281">
        <v>200023240</v>
      </c>
      <c r="B36" s="147">
        <v>1289.2</v>
      </c>
    </row>
    <row r="37" spans="1:2" x14ac:dyDescent="0.25">
      <c r="A37" s="281">
        <v>200023299</v>
      </c>
      <c r="B37" s="147">
        <v>2692.6</v>
      </c>
    </row>
    <row r="38" spans="1:2" x14ac:dyDescent="0.25">
      <c r="A38" s="281">
        <v>200023307</v>
      </c>
      <c r="B38" s="147">
        <v>1423.8</v>
      </c>
    </row>
    <row r="39" spans="1:2" x14ac:dyDescent="0.25">
      <c r="A39" s="281">
        <v>200023372</v>
      </c>
      <c r="B39" s="147">
        <v>2414.1</v>
      </c>
    </row>
    <row r="40" spans="1:2" x14ac:dyDescent="0.25">
      <c r="A40" s="281">
        <v>200023414</v>
      </c>
      <c r="B40" s="147">
        <v>3032.4</v>
      </c>
    </row>
    <row r="41" spans="1:2" x14ac:dyDescent="0.25">
      <c r="A41" s="281">
        <v>200023620</v>
      </c>
      <c r="B41" s="147">
        <v>1214.9000000000001</v>
      </c>
    </row>
    <row r="42" spans="1:2" x14ac:dyDescent="0.25">
      <c r="A42" s="281">
        <v>200023737</v>
      </c>
      <c r="B42" s="147">
        <v>4417.3999999999996</v>
      </c>
    </row>
    <row r="43" spans="1:2" x14ac:dyDescent="0.25">
      <c r="A43" s="281">
        <v>200023778</v>
      </c>
      <c r="B43" s="147">
        <v>1046.3</v>
      </c>
    </row>
    <row r="44" spans="1:2" x14ac:dyDescent="0.25">
      <c r="A44" s="281">
        <v>200023794</v>
      </c>
      <c r="B44" s="147">
        <v>963</v>
      </c>
    </row>
    <row r="45" spans="1:2" x14ac:dyDescent="0.25">
      <c r="A45" s="281">
        <v>200023919</v>
      </c>
      <c r="B45" s="147">
        <v>878.7</v>
      </c>
    </row>
    <row r="46" spans="1:2" x14ac:dyDescent="0.25">
      <c r="A46" s="281">
        <v>200026573</v>
      </c>
      <c r="B46" s="147">
        <v>1571.2</v>
      </c>
    </row>
    <row r="47" spans="1:2" x14ac:dyDescent="0.25">
      <c r="A47" s="281">
        <v>200027027</v>
      </c>
      <c r="B47" s="147">
        <v>792.4</v>
      </c>
    </row>
    <row r="48" spans="1:2" x14ac:dyDescent="0.25">
      <c r="A48" s="281">
        <v>200027076</v>
      </c>
      <c r="B48" s="147">
        <v>921.1</v>
      </c>
    </row>
    <row r="49" spans="1:2" x14ac:dyDescent="0.25">
      <c r="A49" s="281">
        <v>200027100</v>
      </c>
      <c r="B49" s="147">
        <v>2489.6</v>
      </c>
    </row>
    <row r="50" spans="1:2" x14ac:dyDescent="0.25">
      <c r="A50" s="281">
        <v>200027183</v>
      </c>
      <c r="B50" s="147">
        <v>2502.1999999999998</v>
      </c>
    </row>
    <row r="51" spans="1:2" x14ac:dyDescent="0.25">
      <c r="A51" s="281">
        <v>200027217</v>
      </c>
      <c r="B51" s="147">
        <v>1659.4</v>
      </c>
    </row>
    <row r="52" spans="1:2" x14ac:dyDescent="0.25">
      <c r="A52" s="281">
        <v>200027308</v>
      </c>
      <c r="B52" s="147">
        <v>786.3</v>
      </c>
    </row>
    <row r="53" spans="1:2" x14ac:dyDescent="0.25">
      <c r="A53" s="281">
        <v>200029734</v>
      </c>
      <c r="B53" s="147">
        <v>914.5</v>
      </c>
    </row>
    <row r="54" spans="1:2" x14ac:dyDescent="0.25">
      <c r="A54" s="281">
        <v>200029999</v>
      </c>
      <c r="B54" s="147">
        <v>753.5</v>
      </c>
    </row>
    <row r="55" spans="1:2" x14ac:dyDescent="0.25">
      <c r="A55" s="281">
        <v>200030195</v>
      </c>
      <c r="B55" s="147">
        <v>2876.4</v>
      </c>
    </row>
    <row r="56" spans="1:2" x14ac:dyDescent="0.25">
      <c r="A56" s="281">
        <v>200030385</v>
      </c>
      <c r="B56" s="147">
        <v>2923.3</v>
      </c>
    </row>
    <row r="57" spans="1:2" x14ac:dyDescent="0.25">
      <c r="A57" s="281">
        <v>200030435</v>
      </c>
      <c r="B57" s="147">
        <v>1245.9000000000001</v>
      </c>
    </row>
    <row r="58" spans="1:2" x14ac:dyDescent="0.25">
      <c r="A58" s="281">
        <v>200030526</v>
      </c>
      <c r="B58" s="147">
        <v>793.9</v>
      </c>
    </row>
    <row r="59" spans="1:2" x14ac:dyDescent="0.25">
      <c r="A59" s="281">
        <v>200030633</v>
      </c>
      <c r="B59" s="147">
        <v>965.9</v>
      </c>
    </row>
    <row r="60" spans="1:2" x14ac:dyDescent="0.25">
      <c r="A60" s="281">
        <v>200030658</v>
      </c>
      <c r="B60" s="147">
        <v>1555.4</v>
      </c>
    </row>
    <row r="61" spans="1:2" x14ac:dyDescent="0.25">
      <c r="A61" s="281">
        <v>200030674</v>
      </c>
      <c r="B61" s="147">
        <v>1127.7</v>
      </c>
    </row>
    <row r="62" spans="1:2" x14ac:dyDescent="0.25">
      <c r="A62" s="281">
        <v>200032514</v>
      </c>
      <c r="B62" s="147">
        <v>799.6</v>
      </c>
    </row>
    <row r="63" spans="1:2" x14ac:dyDescent="0.25">
      <c r="A63" s="281">
        <v>200033025</v>
      </c>
      <c r="B63" s="147">
        <v>4777</v>
      </c>
    </row>
    <row r="64" spans="1:2" x14ac:dyDescent="0.25">
      <c r="A64" s="281">
        <v>200033090</v>
      </c>
      <c r="B64" s="147">
        <v>870.8</v>
      </c>
    </row>
    <row r="65" spans="1:2" x14ac:dyDescent="0.25">
      <c r="A65" s="281">
        <v>200033116</v>
      </c>
      <c r="B65" s="147">
        <v>1348.7</v>
      </c>
    </row>
    <row r="66" spans="1:2" x14ac:dyDescent="0.25">
      <c r="A66" s="281">
        <v>200033173</v>
      </c>
      <c r="B66" s="147">
        <v>1087.0999999999999</v>
      </c>
    </row>
    <row r="67" spans="1:2" x14ac:dyDescent="0.25">
      <c r="A67" s="281">
        <v>200033181</v>
      </c>
      <c r="B67" s="147">
        <v>2284.5</v>
      </c>
    </row>
    <row r="68" spans="1:2" x14ac:dyDescent="0.25">
      <c r="A68" s="281">
        <v>200033298</v>
      </c>
      <c r="B68" s="147">
        <v>474.3</v>
      </c>
    </row>
    <row r="69" spans="1:2" x14ac:dyDescent="0.25">
      <c r="A69" s="281">
        <v>200033579</v>
      </c>
      <c r="B69" s="147">
        <v>6139.2</v>
      </c>
    </row>
    <row r="70" spans="1:2" x14ac:dyDescent="0.25">
      <c r="A70" s="281">
        <v>200033827</v>
      </c>
      <c r="B70" s="147">
        <v>929.2</v>
      </c>
    </row>
    <row r="71" spans="1:2" x14ac:dyDescent="0.25">
      <c r="A71" s="281">
        <v>200033868</v>
      </c>
      <c r="B71" s="147">
        <v>863.4</v>
      </c>
    </row>
    <row r="72" spans="1:2" x14ac:dyDescent="0.25">
      <c r="A72" s="281">
        <v>200034023</v>
      </c>
      <c r="B72" s="147">
        <v>1219.5999999999999</v>
      </c>
    </row>
    <row r="73" spans="1:2" x14ac:dyDescent="0.25">
      <c r="A73" s="281">
        <v>200034031</v>
      </c>
      <c r="B73" s="147">
        <v>802.9</v>
      </c>
    </row>
    <row r="74" spans="1:2" x14ac:dyDescent="0.25">
      <c r="A74" s="281">
        <v>200034049</v>
      </c>
      <c r="B74" s="147">
        <v>859.4</v>
      </c>
    </row>
    <row r="75" spans="1:2" x14ac:dyDescent="0.25">
      <c r="A75" s="281">
        <v>200034056</v>
      </c>
      <c r="B75" s="147">
        <v>815.4</v>
      </c>
    </row>
    <row r="76" spans="1:2" x14ac:dyDescent="0.25">
      <c r="A76" s="281">
        <v>200034064</v>
      </c>
      <c r="B76" s="147">
        <v>1482.6</v>
      </c>
    </row>
    <row r="77" spans="1:2" x14ac:dyDescent="0.25">
      <c r="A77" s="281">
        <v>200034098</v>
      </c>
      <c r="B77" s="147">
        <v>1085.5999999999999</v>
      </c>
    </row>
    <row r="78" spans="1:2" x14ac:dyDescent="0.25">
      <c r="A78" s="281">
        <v>200034130</v>
      </c>
      <c r="B78" s="147">
        <v>828.9</v>
      </c>
    </row>
    <row r="79" spans="1:2" x14ac:dyDescent="0.25">
      <c r="A79" s="281">
        <v>200034197</v>
      </c>
      <c r="B79" s="147">
        <v>775.8</v>
      </c>
    </row>
    <row r="80" spans="1:2" x14ac:dyDescent="0.25">
      <c r="A80" s="281">
        <v>200034205</v>
      </c>
      <c r="B80" s="147">
        <v>1015</v>
      </c>
    </row>
    <row r="81" spans="1:2" x14ac:dyDescent="0.25">
      <c r="A81" s="281">
        <v>200034270</v>
      </c>
      <c r="B81" s="147">
        <v>673.6</v>
      </c>
    </row>
    <row r="82" spans="1:2" x14ac:dyDescent="0.25">
      <c r="A82" s="281">
        <v>200034379</v>
      </c>
      <c r="B82" s="147">
        <v>864.1</v>
      </c>
    </row>
    <row r="83" spans="1:2" x14ac:dyDescent="0.25">
      <c r="A83" s="281">
        <v>200034411</v>
      </c>
      <c r="B83" s="147">
        <v>898</v>
      </c>
    </row>
    <row r="84" spans="1:2" x14ac:dyDescent="0.25">
      <c r="A84" s="281">
        <v>200034601</v>
      </c>
      <c r="B84" s="147">
        <v>1333.8</v>
      </c>
    </row>
    <row r="85" spans="1:2" x14ac:dyDescent="0.25">
      <c r="A85" s="281">
        <v>200034635</v>
      </c>
      <c r="B85" s="147">
        <v>584.70000000000005</v>
      </c>
    </row>
    <row r="86" spans="1:2" x14ac:dyDescent="0.25">
      <c r="A86" s="281">
        <v>200034692</v>
      </c>
      <c r="B86" s="147">
        <v>3035.8</v>
      </c>
    </row>
    <row r="87" spans="1:2" x14ac:dyDescent="0.25">
      <c r="A87" s="281">
        <v>200034700</v>
      </c>
      <c r="B87" s="147">
        <v>1369.2</v>
      </c>
    </row>
    <row r="88" spans="1:2" x14ac:dyDescent="0.25">
      <c r="A88" s="281">
        <v>200034718</v>
      </c>
      <c r="B88" s="147">
        <v>1271.7</v>
      </c>
    </row>
    <row r="89" spans="1:2" x14ac:dyDescent="0.25">
      <c r="A89" s="281">
        <v>200034726</v>
      </c>
      <c r="B89" s="147">
        <v>930</v>
      </c>
    </row>
    <row r="90" spans="1:2" x14ac:dyDescent="0.25">
      <c r="A90" s="281">
        <v>200034825</v>
      </c>
      <c r="B90" s="147">
        <v>4508.8999999999996</v>
      </c>
    </row>
    <row r="91" spans="1:2" x14ac:dyDescent="0.25">
      <c r="A91" s="281">
        <v>200034833</v>
      </c>
      <c r="B91" s="147">
        <v>1768.2</v>
      </c>
    </row>
    <row r="92" spans="1:2" x14ac:dyDescent="0.25">
      <c r="A92" s="281">
        <v>200034874</v>
      </c>
      <c r="B92" s="147">
        <v>1086.4000000000001</v>
      </c>
    </row>
    <row r="93" spans="1:2" x14ac:dyDescent="0.25">
      <c r="A93" s="281">
        <v>200034882</v>
      </c>
      <c r="B93" s="147">
        <v>1663.4</v>
      </c>
    </row>
    <row r="94" spans="1:2" x14ac:dyDescent="0.25">
      <c r="A94" s="281">
        <v>200034957</v>
      </c>
      <c r="B94" s="147">
        <v>900.6</v>
      </c>
    </row>
    <row r="95" spans="1:2" x14ac:dyDescent="0.25">
      <c r="A95" s="281">
        <v>200035087</v>
      </c>
      <c r="B95" s="147">
        <v>973.4</v>
      </c>
    </row>
    <row r="96" spans="1:2" x14ac:dyDescent="0.25">
      <c r="A96" s="281">
        <v>200035103</v>
      </c>
      <c r="B96" s="147">
        <v>713.9</v>
      </c>
    </row>
    <row r="97" spans="1:2" x14ac:dyDescent="0.25">
      <c r="A97" s="281">
        <v>200035111</v>
      </c>
      <c r="B97" s="147">
        <v>722.9</v>
      </c>
    </row>
    <row r="98" spans="1:2" x14ac:dyDescent="0.25">
      <c r="A98" s="281">
        <v>200035129</v>
      </c>
      <c r="B98" s="147">
        <v>1079.8</v>
      </c>
    </row>
    <row r="99" spans="1:2" x14ac:dyDescent="0.25">
      <c r="A99" s="281">
        <v>200035137</v>
      </c>
      <c r="B99" s="147">
        <v>835.9</v>
      </c>
    </row>
    <row r="100" spans="1:2" x14ac:dyDescent="0.25">
      <c r="A100" s="281">
        <v>200035202</v>
      </c>
      <c r="B100" s="147">
        <v>702.6</v>
      </c>
    </row>
    <row r="101" spans="1:2" x14ac:dyDescent="0.25">
      <c r="A101" s="281">
        <v>200035319</v>
      </c>
      <c r="B101" s="147">
        <v>1534.5</v>
      </c>
    </row>
    <row r="102" spans="1:2" x14ac:dyDescent="0.25">
      <c r="A102" s="281">
        <v>200035327</v>
      </c>
      <c r="B102" s="147">
        <v>905.8</v>
      </c>
    </row>
    <row r="103" spans="1:2" x14ac:dyDescent="0.25">
      <c r="A103" s="281">
        <v>200035442</v>
      </c>
      <c r="B103" s="147">
        <v>1155.5999999999999</v>
      </c>
    </row>
    <row r="104" spans="1:2" x14ac:dyDescent="0.25">
      <c r="A104" s="281">
        <v>200035459</v>
      </c>
      <c r="B104" s="147">
        <v>3022.9</v>
      </c>
    </row>
    <row r="105" spans="1:2" x14ac:dyDescent="0.25">
      <c r="A105" s="281">
        <v>200035533</v>
      </c>
      <c r="B105" s="147">
        <v>856.3</v>
      </c>
    </row>
    <row r="106" spans="1:2" x14ac:dyDescent="0.25">
      <c r="A106" s="281">
        <v>200035541</v>
      </c>
      <c r="B106" s="147">
        <v>1076.2</v>
      </c>
    </row>
    <row r="107" spans="1:2" x14ac:dyDescent="0.25">
      <c r="A107" s="281">
        <v>200035632</v>
      </c>
      <c r="B107" s="147">
        <v>1394</v>
      </c>
    </row>
    <row r="108" spans="1:2" x14ac:dyDescent="0.25">
      <c r="A108" s="281">
        <v>200035707</v>
      </c>
      <c r="B108" s="147">
        <v>1085.0999999999999</v>
      </c>
    </row>
    <row r="109" spans="1:2" x14ac:dyDescent="0.25">
      <c r="A109" s="281">
        <v>200035715</v>
      </c>
      <c r="B109" s="147">
        <v>3494</v>
      </c>
    </row>
    <row r="110" spans="1:2" x14ac:dyDescent="0.25">
      <c r="A110" s="281">
        <v>200035723</v>
      </c>
      <c r="B110" s="147">
        <v>1026.0999999999999</v>
      </c>
    </row>
    <row r="111" spans="1:2" x14ac:dyDescent="0.25">
      <c r="A111" s="281">
        <v>200035731</v>
      </c>
      <c r="B111" s="147">
        <v>1737.3</v>
      </c>
    </row>
    <row r="112" spans="1:2" x14ac:dyDescent="0.25">
      <c r="A112" s="281">
        <v>200035756</v>
      </c>
      <c r="B112" s="147">
        <v>941.3</v>
      </c>
    </row>
    <row r="113" spans="1:2" x14ac:dyDescent="0.25">
      <c r="A113" s="281">
        <v>200035764</v>
      </c>
      <c r="B113" s="147">
        <v>870.8</v>
      </c>
    </row>
    <row r="114" spans="1:2" x14ac:dyDescent="0.25">
      <c r="A114" s="281">
        <v>200035772</v>
      </c>
      <c r="B114" s="147">
        <v>609.1</v>
      </c>
    </row>
    <row r="115" spans="1:2" x14ac:dyDescent="0.25">
      <c r="A115" s="281">
        <v>200035814</v>
      </c>
      <c r="B115" s="147">
        <v>1001.1</v>
      </c>
    </row>
    <row r="116" spans="1:2" x14ac:dyDescent="0.25">
      <c r="A116" s="281">
        <v>200035848</v>
      </c>
      <c r="B116" s="147">
        <v>762.5</v>
      </c>
    </row>
    <row r="117" spans="1:2" x14ac:dyDescent="0.25">
      <c r="A117" s="281">
        <v>200035855</v>
      </c>
      <c r="B117" s="147">
        <v>1256.5999999999999</v>
      </c>
    </row>
    <row r="118" spans="1:2" x14ac:dyDescent="0.25">
      <c r="A118" s="281">
        <v>200035863</v>
      </c>
      <c r="B118" s="147">
        <v>1216.2</v>
      </c>
    </row>
    <row r="119" spans="1:2" x14ac:dyDescent="0.25">
      <c r="A119" s="281">
        <v>200035970</v>
      </c>
      <c r="B119" s="147">
        <v>873.5</v>
      </c>
    </row>
    <row r="120" spans="1:2" x14ac:dyDescent="0.25">
      <c r="A120" s="281">
        <v>200036069</v>
      </c>
      <c r="B120" s="147">
        <v>882</v>
      </c>
    </row>
    <row r="121" spans="1:2" x14ac:dyDescent="0.25">
      <c r="A121" s="281">
        <v>200036077</v>
      </c>
      <c r="B121" s="147">
        <v>2027.4</v>
      </c>
    </row>
    <row r="122" spans="1:2" x14ac:dyDescent="0.25">
      <c r="A122" s="281">
        <v>200036135</v>
      </c>
      <c r="B122" s="147">
        <v>1237.3</v>
      </c>
    </row>
    <row r="123" spans="1:2" x14ac:dyDescent="0.25">
      <c r="A123" s="281">
        <v>200036150</v>
      </c>
      <c r="B123" s="147">
        <v>861.8</v>
      </c>
    </row>
    <row r="124" spans="1:2" x14ac:dyDescent="0.25">
      <c r="A124" s="281">
        <v>200036465</v>
      </c>
      <c r="B124" s="147">
        <v>841.9</v>
      </c>
    </row>
    <row r="125" spans="1:2" x14ac:dyDescent="0.25">
      <c r="A125" s="281">
        <v>200036473</v>
      </c>
      <c r="B125" s="147">
        <v>2507.8000000000002</v>
      </c>
    </row>
    <row r="126" spans="1:2" x14ac:dyDescent="0.25">
      <c r="A126" s="281">
        <v>200036499</v>
      </c>
      <c r="B126" s="147">
        <v>1786.1</v>
      </c>
    </row>
    <row r="127" spans="1:2" x14ac:dyDescent="0.25">
      <c r="A127" s="281">
        <v>200036523</v>
      </c>
      <c r="B127" s="147">
        <v>806.8</v>
      </c>
    </row>
    <row r="128" spans="1:2" x14ac:dyDescent="0.25">
      <c r="A128" s="281">
        <v>200036549</v>
      </c>
      <c r="B128" s="147">
        <v>925</v>
      </c>
    </row>
    <row r="129" spans="1:2" x14ac:dyDescent="0.25">
      <c r="A129" s="281">
        <v>200036572</v>
      </c>
      <c r="B129" s="147">
        <v>770.4</v>
      </c>
    </row>
    <row r="130" spans="1:2" x14ac:dyDescent="0.25">
      <c r="A130" s="281">
        <v>200037059</v>
      </c>
      <c r="B130" s="147">
        <v>990.2</v>
      </c>
    </row>
    <row r="131" spans="1:2" x14ac:dyDescent="0.25">
      <c r="A131" s="281">
        <v>200037133</v>
      </c>
      <c r="B131" s="147">
        <v>1038.7</v>
      </c>
    </row>
    <row r="132" spans="1:2" x14ac:dyDescent="0.25">
      <c r="A132" s="281">
        <v>200038958</v>
      </c>
      <c r="B132" s="147">
        <v>1174.0999999999999</v>
      </c>
    </row>
    <row r="133" spans="1:2" x14ac:dyDescent="0.25">
      <c r="A133" s="281">
        <v>200038990</v>
      </c>
      <c r="B133" s="147">
        <v>706.2</v>
      </c>
    </row>
    <row r="134" spans="1:2" x14ac:dyDescent="0.25">
      <c r="A134" s="281">
        <v>200039022</v>
      </c>
      <c r="B134" s="147">
        <v>709.5</v>
      </c>
    </row>
    <row r="135" spans="1:2" x14ac:dyDescent="0.25">
      <c r="A135" s="281">
        <v>200039055</v>
      </c>
      <c r="B135" s="147">
        <v>839.5</v>
      </c>
    </row>
    <row r="136" spans="1:2" x14ac:dyDescent="0.25">
      <c r="A136" s="281">
        <v>200039063</v>
      </c>
      <c r="B136" s="147">
        <v>626.79999999999995</v>
      </c>
    </row>
    <row r="137" spans="1:2" x14ac:dyDescent="0.25">
      <c r="A137" s="281">
        <v>200039204</v>
      </c>
      <c r="B137" s="147">
        <v>1499.9</v>
      </c>
    </row>
    <row r="138" spans="1:2" x14ac:dyDescent="0.25">
      <c r="A138" s="281">
        <v>200039519</v>
      </c>
      <c r="B138" s="147">
        <v>785.1</v>
      </c>
    </row>
    <row r="139" spans="1:2" x14ac:dyDescent="0.25">
      <c r="A139" s="281">
        <v>200039642</v>
      </c>
      <c r="B139" s="147">
        <v>1206.9000000000001</v>
      </c>
    </row>
    <row r="140" spans="1:2" x14ac:dyDescent="0.25">
      <c r="A140" s="281">
        <v>200039709</v>
      </c>
      <c r="B140" s="147">
        <v>2903.9</v>
      </c>
    </row>
    <row r="141" spans="1:2" x14ac:dyDescent="0.25">
      <c r="A141" s="281">
        <v>200039758</v>
      </c>
      <c r="B141" s="147">
        <v>1130.7</v>
      </c>
    </row>
    <row r="142" spans="1:2" x14ac:dyDescent="0.25">
      <c r="A142" s="281">
        <v>200039808</v>
      </c>
      <c r="B142" s="147">
        <v>1303.7</v>
      </c>
    </row>
    <row r="143" spans="1:2" x14ac:dyDescent="0.25">
      <c r="A143" s="281">
        <v>200039824</v>
      </c>
      <c r="B143" s="147">
        <v>1183.7</v>
      </c>
    </row>
    <row r="144" spans="1:2" x14ac:dyDescent="0.25">
      <c r="A144" s="281">
        <v>200039832</v>
      </c>
      <c r="B144" s="147">
        <v>1003.2</v>
      </c>
    </row>
    <row r="145" spans="1:2" x14ac:dyDescent="0.25">
      <c r="A145" s="281">
        <v>200039857</v>
      </c>
      <c r="B145" s="147">
        <v>1425</v>
      </c>
    </row>
    <row r="146" spans="1:2" x14ac:dyDescent="0.25">
      <c r="A146" s="281">
        <v>200039865</v>
      </c>
      <c r="B146" s="147">
        <v>4746.8999999999996</v>
      </c>
    </row>
    <row r="147" spans="1:2" x14ac:dyDescent="0.25">
      <c r="A147" s="281">
        <v>200039907</v>
      </c>
      <c r="B147" s="147">
        <v>1114.9000000000001</v>
      </c>
    </row>
    <row r="148" spans="1:2" x14ac:dyDescent="0.25">
      <c r="A148" s="281">
        <v>200039915</v>
      </c>
      <c r="B148" s="147">
        <v>1964.3</v>
      </c>
    </row>
    <row r="149" spans="1:2" x14ac:dyDescent="0.25">
      <c r="A149" s="281">
        <v>200039931</v>
      </c>
      <c r="B149" s="147">
        <v>1430.4</v>
      </c>
    </row>
    <row r="150" spans="1:2" x14ac:dyDescent="0.25">
      <c r="A150" s="281">
        <v>200039949</v>
      </c>
      <c r="B150" s="147">
        <v>1277.7</v>
      </c>
    </row>
    <row r="151" spans="1:2" x14ac:dyDescent="0.25">
      <c r="A151" s="281">
        <v>200040038</v>
      </c>
      <c r="B151" s="147">
        <v>615.29999999999995</v>
      </c>
    </row>
    <row r="152" spans="1:2" x14ac:dyDescent="0.25">
      <c r="A152" s="281">
        <v>200040095</v>
      </c>
      <c r="B152" s="147">
        <v>1378.7</v>
      </c>
    </row>
    <row r="153" spans="1:2" x14ac:dyDescent="0.25">
      <c r="A153" s="281">
        <v>200040111</v>
      </c>
      <c r="B153" s="147">
        <v>929.4</v>
      </c>
    </row>
    <row r="154" spans="1:2" x14ac:dyDescent="0.25">
      <c r="A154" s="281">
        <v>200040137</v>
      </c>
      <c r="B154" s="147">
        <v>749.9</v>
      </c>
    </row>
    <row r="155" spans="1:2" x14ac:dyDescent="0.25">
      <c r="A155" s="281">
        <v>200040178</v>
      </c>
      <c r="B155" s="147">
        <v>671.2</v>
      </c>
    </row>
    <row r="156" spans="1:2" x14ac:dyDescent="0.25">
      <c r="A156" s="281">
        <v>200040202</v>
      </c>
      <c r="B156" s="147">
        <v>986.1</v>
      </c>
    </row>
    <row r="157" spans="1:2" x14ac:dyDescent="0.25">
      <c r="A157" s="281">
        <v>200040210</v>
      </c>
      <c r="B157" s="147">
        <v>1239</v>
      </c>
    </row>
    <row r="158" spans="1:2" x14ac:dyDescent="0.25">
      <c r="A158" s="281">
        <v>200040244</v>
      </c>
      <c r="B158" s="147">
        <v>926.5</v>
      </c>
    </row>
    <row r="159" spans="1:2" x14ac:dyDescent="0.25">
      <c r="A159" s="281">
        <v>200040251</v>
      </c>
      <c r="B159" s="147">
        <v>700.6</v>
      </c>
    </row>
    <row r="160" spans="1:2" x14ac:dyDescent="0.25">
      <c r="A160" s="281">
        <v>200040277</v>
      </c>
      <c r="B160" s="147">
        <v>1244.3</v>
      </c>
    </row>
    <row r="161" spans="1:2" x14ac:dyDescent="0.25">
      <c r="A161" s="281">
        <v>200040293</v>
      </c>
      <c r="B161" s="147">
        <v>1017.4</v>
      </c>
    </row>
    <row r="162" spans="1:2" x14ac:dyDescent="0.25">
      <c r="A162" s="281">
        <v>200040350</v>
      </c>
      <c r="B162" s="147">
        <v>953.6</v>
      </c>
    </row>
    <row r="163" spans="1:2" x14ac:dyDescent="0.25">
      <c r="A163" s="281">
        <v>200040384</v>
      </c>
      <c r="B163" s="147">
        <v>772.9</v>
      </c>
    </row>
    <row r="164" spans="1:2" x14ac:dyDescent="0.25">
      <c r="A164" s="281">
        <v>200040392</v>
      </c>
      <c r="B164" s="147">
        <v>4276.3</v>
      </c>
    </row>
    <row r="165" spans="1:2" x14ac:dyDescent="0.25">
      <c r="A165" s="281">
        <v>200040400</v>
      </c>
      <c r="B165" s="147">
        <v>1021.7</v>
      </c>
    </row>
    <row r="166" spans="1:2" x14ac:dyDescent="0.25">
      <c r="A166" s="281">
        <v>200040418</v>
      </c>
      <c r="B166" s="147">
        <v>754</v>
      </c>
    </row>
    <row r="167" spans="1:2" x14ac:dyDescent="0.25">
      <c r="A167" s="281">
        <v>200040426</v>
      </c>
      <c r="B167" s="147">
        <v>1169.8</v>
      </c>
    </row>
    <row r="168" spans="1:2" x14ac:dyDescent="0.25">
      <c r="A168" s="281">
        <v>200040442</v>
      </c>
      <c r="B168" s="147">
        <v>1335.1</v>
      </c>
    </row>
    <row r="169" spans="1:2" x14ac:dyDescent="0.25">
      <c r="A169" s="281">
        <v>200040459</v>
      </c>
      <c r="B169" s="147">
        <v>1233.9000000000001</v>
      </c>
    </row>
    <row r="170" spans="1:2" x14ac:dyDescent="0.25">
      <c r="A170" s="281">
        <v>200040475</v>
      </c>
      <c r="B170" s="147">
        <v>798.3</v>
      </c>
    </row>
    <row r="171" spans="1:2" x14ac:dyDescent="0.25">
      <c r="A171" s="281">
        <v>200040491</v>
      </c>
      <c r="B171" s="147">
        <v>800.1</v>
      </c>
    </row>
    <row r="172" spans="1:2" x14ac:dyDescent="0.25">
      <c r="A172" s="281">
        <v>200040509</v>
      </c>
      <c r="B172" s="147">
        <v>1484.4</v>
      </c>
    </row>
    <row r="173" spans="1:2" x14ac:dyDescent="0.25">
      <c r="A173" s="281">
        <v>200040558</v>
      </c>
      <c r="B173" s="147">
        <v>867.5</v>
      </c>
    </row>
    <row r="174" spans="1:2" x14ac:dyDescent="0.25">
      <c r="A174" s="281">
        <v>200040566</v>
      </c>
      <c r="B174" s="147">
        <v>757.3</v>
      </c>
    </row>
    <row r="175" spans="1:2" x14ac:dyDescent="0.25">
      <c r="A175" s="281">
        <v>200040574</v>
      </c>
      <c r="B175" s="147">
        <v>727.3</v>
      </c>
    </row>
    <row r="176" spans="1:2" x14ac:dyDescent="0.25">
      <c r="A176" s="281">
        <v>200040590</v>
      </c>
      <c r="B176" s="147">
        <v>1314.6</v>
      </c>
    </row>
    <row r="177" spans="1:2" x14ac:dyDescent="0.25">
      <c r="A177" s="281">
        <v>200040624</v>
      </c>
      <c r="B177" s="147">
        <v>1450.1</v>
      </c>
    </row>
    <row r="178" spans="1:2" x14ac:dyDescent="0.25">
      <c r="A178" s="281">
        <v>200040657</v>
      </c>
      <c r="B178" s="147">
        <v>930.1</v>
      </c>
    </row>
    <row r="179" spans="1:2" x14ac:dyDescent="0.25">
      <c r="A179" s="281">
        <v>200040681</v>
      </c>
      <c r="B179" s="147">
        <v>940.7</v>
      </c>
    </row>
    <row r="180" spans="1:2" x14ac:dyDescent="0.25">
      <c r="A180" s="281">
        <v>200040715</v>
      </c>
      <c r="B180" s="147">
        <v>3753.3</v>
      </c>
    </row>
    <row r="181" spans="1:2" x14ac:dyDescent="0.25">
      <c r="A181" s="281">
        <v>200040764</v>
      </c>
      <c r="B181" s="147">
        <v>1823.1</v>
      </c>
    </row>
    <row r="182" spans="1:2" x14ac:dyDescent="0.25">
      <c r="A182" s="281">
        <v>200040772</v>
      </c>
      <c r="B182" s="147">
        <v>871.7</v>
      </c>
    </row>
    <row r="183" spans="1:2" x14ac:dyDescent="0.25">
      <c r="A183" s="281">
        <v>200040798</v>
      </c>
      <c r="B183" s="147">
        <v>3465.4</v>
      </c>
    </row>
    <row r="184" spans="1:2" x14ac:dyDescent="0.25">
      <c r="A184" s="281">
        <v>200040814</v>
      </c>
      <c r="B184" s="147">
        <v>820.8</v>
      </c>
    </row>
    <row r="185" spans="1:2" x14ac:dyDescent="0.25">
      <c r="A185" s="281">
        <v>200040830</v>
      </c>
      <c r="B185" s="147">
        <v>817.1</v>
      </c>
    </row>
    <row r="186" spans="1:2" x14ac:dyDescent="0.25">
      <c r="A186" s="281">
        <v>200040889</v>
      </c>
      <c r="B186" s="147">
        <v>611.20000000000005</v>
      </c>
    </row>
    <row r="187" spans="1:2" x14ac:dyDescent="0.25">
      <c r="A187" s="281">
        <v>200040905</v>
      </c>
      <c r="B187" s="147">
        <v>1395.5</v>
      </c>
    </row>
    <row r="188" spans="1:2" x14ac:dyDescent="0.25">
      <c r="A188" s="281">
        <v>200040947</v>
      </c>
      <c r="B188" s="147">
        <v>1074.5999999999999</v>
      </c>
    </row>
    <row r="189" spans="1:2" x14ac:dyDescent="0.25">
      <c r="A189" s="281">
        <v>200040954</v>
      </c>
      <c r="B189" s="147">
        <v>829.7</v>
      </c>
    </row>
    <row r="190" spans="1:2" x14ac:dyDescent="0.25">
      <c r="A190" s="281">
        <v>200041010</v>
      </c>
      <c r="B190" s="147">
        <v>971.1</v>
      </c>
    </row>
    <row r="191" spans="1:2" x14ac:dyDescent="0.25">
      <c r="A191" s="281">
        <v>200041051</v>
      </c>
      <c r="B191" s="147">
        <v>793.5</v>
      </c>
    </row>
    <row r="192" spans="1:2" x14ac:dyDescent="0.25">
      <c r="A192" s="281">
        <v>200041150</v>
      </c>
      <c r="B192" s="147">
        <v>1012</v>
      </c>
    </row>
    <row r="193" spans="1:2" x14ac:dyDescent="0.25">
      <c r="A193" s="281">
        <v>200041168</v>
      </c>
      <c r="B193" s="147">
        <v>1303.2</v>
      </c>
    </row>
    <row r="194" spans="1:2" x14ac:dyDescent="0.25">
      <c r="A194" s="281">
        <v>200041283</v>
      </c>
      <c r="B194" s="147">
        <v>626.4</v>
      </c>
    </row>
    <row r="195" spans="1:2" x14ac:dyDescent="0.25">
      <c r="A195" s="281">
        <v>200041317</v>
      </c>
      <c r="B195" s="147">
        <v>2757.7</v>
      </c>
    </row>
    <row r="196" spans="1:2" x14ac:dyDescent="0.25">
      <c r="A196" s="281">
        <v>200041325</v>
      </c>
      <c r="B196" s="147">
        <v>654.5</v>
      </c>
    </row>
    <row r="197" spans="1:2" x14ac:dyDescent="0.25">
      <c r="A197" s="281">
        <v>200041333</v>
      </c>
      <c r="B197" s="147">
        <v>1214.4000000000001</v>
      </c>
    </row>
    <row r="198" spans="1:2" x14ac:dyDescent="0.25">
      <c r="A198" s="281">
        <v>200041366</v>
      </c>
      <c r="B198" s="147">
        <v>1027.7</v>
      </c>
    </row>
    <row r="199" spans="1:2" x14ac:dyDescent="0.25">
      <c r="A199" s="281">
        <v>200041416</v>
      </c>
      <c r="B199" s="147">
        <v>832.9</v>
      </c>
    </row>
    <row r="200" spans="1:2" x14ac:dyDescent="0.25">
      <c r="A200" s="281">
        <v>200041440</v>
      </c>
      <c r="B200" s="147">
        <v>1171</v>
      </c>
    </row>
    <row r="201" spans="1:2" x14ac:dyDescent="0.25">
      <c r="A201" s="281">
        <v>200041465</v>
      </c>
      <c r="B201" s="147">
        <v>1211</v>
      </c>
    </row>
    <row r="202" spans="1:2" x14ac:dyDescent="0.25">
      <c r="A202" s="281">
        <v>200041499</v>
      </c>
      <c r="B202" s="147">
        <v>812.4</v>
      </c>
    </row>
    <row r="203" spans="1:2" x14ac:dyDescent="0.25">
      <c r="A203" s="281">
        <v>200041515</v>
      </c>
      <c r="B203" s="147">
        <v>1620.4</v>
      </c>
    </row>
    <row r="204" spans="1:2" x14ac:dyDescent="0.25">
      <c r="A204" s="281">
        <v>200041523</v>
      </c>
      <c r="B204" s="147">
        <v>916.4</v>
      </c>
    </row>
    <row r="205" spans="1:2" x14ac:dyDescent="0.25">
      <c r="A205" s="281">
        <v>200041556</v>
      </c>
      <c r="B205" s="147">
        <v>826.6</v>
      </c>
    </row>
    <row r="206" spans="1:2" x14ac:dyDescent="0.25">
      <c r="A206" s="281">
        <v>200041572</v>
      </c>
      <c r="B206" s="147">
        <v>1075.5999999999999</v>
      </c>
    </row>
    <row r="207" spans="1:2" x14ac:dyDescent="0.25">
      <c r="A207" s="281">
        <v>200041614</v>
      </c>
      <c r="B207" s="147">
        <v>1090.3</v>
      </c>
    </row>
    <row r="208" spans="1:2" x14ac:dyDescent="0.25">
      <c r="A208" s="281">
        <v>200041622</v>
      </c>
      <c r="B208" s="147">
        <v>916.2</v>
      </c>
    </row>
    <row r="209" spans="1:2" x14ac:dyDescent="0.25">
      <c r="A209" s="281">
        <v>200041630</v>
      </c>
      <c r="B209" s="147">
        <v>2928.8</v>
      </c>
    </row>
    <row r="210" spans="1:2" x14ac:dyDescent="0.25">
      <c r="A210" s="281">
        <v>200041689</v>
      </c>
      <c r="B210" s="147">
        <v>1443.1</v>
      </c>
    </row>
    <row r="211" spans="1:2" x14ac:dyDescent="0.25">
      <c r="A211" s="281">
        <v>200041721</v>
      </c>
      <c r="B211" s="147">
        <v>752.4</v>
      </c>
    </row>
    <row r="212" spans="1:2" x14ac:dyDescent="0.25">
      <c r="A212" s="281">
        <v>200041762</v>
      </c>
      <c r="B212" s="147">
        <v>1573.1</v>
      </c>
    </row>
    <row r="213" spans="1:2" x14ac:dyDescent="0.25">
      <c r="A213" s="281">
        <v>200041853</v>
      </c>
      <c r="B213" s="147">
        <v>840</v>
      </c>
    </row>
    <row r="214" spans="1:2" x14ac:dyDescent="0.25">
      <c r="A214" s="281">
        <v>200041861</v>
      </c>
      <c r="B214" s="147">
        <v>646.9</v>
      </c>
    </row>
    <row r="215" spans="1:2" x14ac:dyDescent="0.25">
      <c r="A215" s="281">
        <v>200041879</v>
      </c>
      <c r="B215" s="147">
        <v>753</v>
      </c>
    </row>
    <row r="216" spans="1:2" x14ac:dyDescent="0.25">
      <c r="A216" s="281">
        <v>200041887</v>
      </c>
      <c r="B216" s="147">
        <v>731.2</v>
      </c>
    </row>
    <row r="217" spans="1:2" x14ac:dyDescent="0.25">
      <c r="A217" s="281">
        <v>200041960</v>
      </c>
      <c r="B217" s="147">
        <v>714.6</v>
      </c>
    </row>
    <row r="218" spans="1:2" x14ac:dyDescent="0.25">
      <c r="A218" s="281">
        <v>200041994</v>
      </c>
      <c r="B218" s="147">
        <v>1608.9</v>
      </c>
    </row>
    <row r="219" spans="1:2" x14ac:dyDescent="0.25">
      <c r="A219" s="281">
        <v>200042000</v>
      </c>
      <c r="B219" s="147">
        <v>915.2</v>
      </c>
    </row>
    <row r="220" spans="1:2" x14ac:dyDescent="0.25">
      <c r="A220" s="281">
        <v>200042174</v>
      </c>
      <c r="B220" s="147">
        <v>1723.8</v>
      </c>
    </row>
    <row r="221" spans="1:2" x14ac:dyDescent="0.25">
      <c r="A221" s="281">
        <v>200042182</v>
      </c>
      <c r="B221" s="147">
        <v>1018.9</v>
      </c>
    </row>
    <row r="222" spans="1:2" x14ac:dyDescent="0.25">
      <c r="A222" s="281">
        <v>200042190</v>
      </c>
      <c r="B222" s="147">
        <v>1091.3</v>
      </c>
    </row>
    <row r="223" spans="1:2" x14ac:dyDescent="0.25">
      <c r="A223" s="281">
        <v>200042372</v>
      </c>
      <c r="B223" s="147">
        <v>982.4</v>
      </c>
    </row>
    <row r="224" spans="1:2" x14ac:dyDescent="0.25">
      <c r="A224" s="281">
        <v>200042414</v>
      </c>
      <c r="B224" s="147">
        <v>760.1</v>
      </c>
    </row>
    <row r="225" spans="1:2" x14ac:dyDescent="0.25">
      <c r="A225" s="281">
        <v>200042463</v>
      </c>
      <c r="B225" s="147">
        <v>1364.9</v>
      </c>
    </row>
    <row r="226" spans="1:2" x14ac:dyDescent="0.25">
      <c r="A226" s="281">
        <v>200042497</v>
      </c>
      <c r="B226" s="147">
        <v>693.8</v>
      </c>
    </row>
    <row r="227" spans="1:2" x14ac:dyDescent="0.25">
      <c r="A227" s="281">
        <v>200042604</v>
      </c>
      <c r="B227" s="147">
        <v>1296.3</v>
      </c>
    </row>
    <row r="228" spans="1:2" x14ac:dyDescent="0.25">
      <c r="A228" s="281">
        <v>200042620</v>
      </c>
      <c r="B228" s="147">
        <v>787.2</v>
      </c>
    </row>
    <row r="229" spans="1:2" x14ac:dyDescent="0.25">
      <c r="A229" s="281">
        <v>200042646</v>
      </c>
      <c r="B229" s="147">
        <v>1050.5999999999999</v>
      </c>
    </row>
    <row r="230" spans="1:2" x14ac:dyDescent="0.25">
      <c r="A230" s="281">
        <v>200042653</v>
      </c>
      <c r="B230" s="147">
        <v>1144.5</v>
      </c>
    </row>
    <row r="231" spans="1:2" x14ac:dyDescent="0.25">
      <c r="A231" s="281">
        <v>200042703</v>
      </c>
      <c r="B231" s="147">
        <v>953.4</v>
      </c>
    </row>
    <row r="232" spans="1:2" x14ac:dyDescent="0.25">
      <c r="A232" s="281">
        <v>200042729</v>
      </c>
      <c r="B232" s="147">
        <v>898</v>
      </c>
    </row>
    <row r="233" spans="1:2" x14ac:dyDescent="0.25">
      <c r="A233" s="281">
        <v>200042901</v>
      </c>
      <c r="B233" s="147">
        <v>1275.9000000000001</v>
      </c>
    </row>
    <row r="234" spans="1:2" x14ac:dyDescent="0.25">
      <c r="A234" s="281">
        <v>200042935</v>
      </c>
      <c r="B234" s="147">
        <v>1132.2</v>
      </c>
    </row>
    <row r="235" spans="1:2" x14ac:dyDescent="0.25">
      <c r="A235" s="281">
        <v>200042943</v>
      </c>
      <c r="B235" s="147">
        <v>908.9</v>
      </c>
    </row>
    <row r="236" spans="1:2" x14ac:dyDescent="0.25">
      <c r="A236" s="281">
        <v>200042992</v>
      </c>
      <c r="B236" s="147">
        <v>736.1</v>
      </c>
    </row>
    <row r="237" spans="1:2" x14ac:dyDescent="0.25">
      <c r="A237" s="281">
        <v>200043016</v>
      </c>
      <c r="B237" s="147">
        <v>994.6</v>
      </c>
    </row>
    <row r="238" spans="1:2" x14ac:dyDescent="0.25">
      <c r="A238" s="281">
        <v>200043065</v>
      </c>
      <c r="B238" s="147">
        <v>1066.4000000000001</v>
      </c>
    </row>
    <row r="239" spans="1:2" x14ac:dyDescent="0.25">
      <c r="A239" s="281">
        <v>200043081</v>
      </c>
      <c r="B239" s="147">
        <v>1256.7</v>
      </c>
    </row>
    <row r="240" spans="1:2" x14ac:dyDescent="0.25">
      <c r="A240" s="281">
        <v>200043123</v>
      </c>
      <c r="B240" s="147">
        <v>1018.4</v>
      </c>
    </row>
    <row r="241" spans="1:2" x14ac:dyDescent="0.25">
      <c r="A241" s="281">
        <v>200043156</v>
      </c>
      <c r="B241" s="147">
        <v>927</v>
      </c>
    </row>
    <row r="242" spans="1:2" x14ac:dyDescent="0.25">
      <c r="A242" s="281">
        <v>200043172</v>
      </c>
      <c r="B242" s="147">
        <v>1741.1</v>
      </c>
    </row>
    <row r="243" spans="1:2" x14ac:dyDescent="0.25">
      <c r="A243" s="281">
        <v>200043263</v>
      </c>
      <c r="B243" s="147">
        <v>2254.8000000000002</v>
      </c>
    </row>
    <row r="244" spans="1:2" x14ac:dyDescent="0.25">
      <c r="A244" s="281">
        <v>200043321</v>
      </c>
      <c r="B244" s="147">
        <v>839</v>
      </c>
    </row>
    <row r="245" spans="1:2" x14ac:dyDescent="0.25">
      <c r="A245" s="281">
        <v>200043354</v>
      </c>
      <c r="B245" s="147">
        <v>750</v>
      </c>
    </row>
    <row r="246" spans="1:2" x14ac:dyDescent="0.25">
      <c r="A246" s="281">
        <v>200043396</v>
      </c>
      <c r="B246" s="147">
        <v>1684.3</v>
      </c>
    </row>
    <row r="247" spans="1:2" x14ac:dyDescent="0.25">
      <c r="A247" s="281">
        <v>200043404</v>
      </c>
      <c r="B247" s="147">
        <v>1196.9000000000001</v>
      </c>
    </row>
    <row r="248" spans="1:2" x14ac:dyDescent="0.25">
      <c r="A248" s="281">
        <v>200043438</v>
      </c>
      <c r="B248" s="147">
        <v>664</v>
      </c>
    </row>
    <row r="249" spans="1:2" x14ac:dyDescent="0.25">
      <c r="A249" s="281">
        <v>200043495</v>
      </c>
      <c r="B249" s="147">
        <v>7043.5</v>
      </c>
    </row>
    <row r="250" spans="1:2" x14ac:dyDescent="0.25">
      <c r="A250" s="281">
        <v>200043602</v>
      </c>
      <c r="B250" s="147">
        <v>1519.7</v>
      </c>
    </row>
    <row r="251" spans="1:2" x14ac:dyDescent="0.25">
      <c r="A251" s="281">
        <v>200043628</v>
      </c>
      <c r="B251" s="147">
        <v>1383.8</v>
      </c>
    </row>
    <row r="252" spans="1:2" x14ac:dyDescent="0.25">
      <c r="A252" s="281">
        <v>200043693</v>
      </c>
      <c r="B252" s="147">
        <v>750.5</v>
      </c>
    </row>
    <row r="253" spans="1:2" x14ac:dyDescent="0.25">
      <c r="A253" s="281">
        <v>200043776</v>
      </c>
      <c r="B253" s="147">
        <v>1406.2</v>
      </c>
    </row>
    <row r="254" spans="1:2" x14ac:dyDescent="0.25">
      <c r="A254" s="281">
        <v>200043974</v>
      </c>
      <c r="B254" s="147">
        <v>1184.8</v>
      </c>
    </row>
    <row r="255" spans="1:2" x14ac:dyDescent="0.25">
      <c r="A255" s="281">
        <v>200043982</v>
      </c>
      <c r="B255" s="147">
        <v>1065.5</v>
      </c>
    </row>
    <row r="256" spans="1:2" x14ac:dyDescent="0.25">
      <c r="A256" s="281">
        <v>200043990</v>
      </c>
      <c r="B256" s="147">
        <v>843.4</v>
      </c>
    </row>
    <row r="257" spans="1:2" x14ac:dyDescent="0.25">
      <c r="A257" s="281">
        <v>200044014</v>
      </c>
      <c r="B257" s="147">
        <v>1151.8</v>
      </c>
    </row>
    <row r="258" spans="1:2" x14ac:dyDescent="0.25">
      <c r="A258" s="281">
        <v>200044030</v>
      </c>
      <c r="B258" s="147">
        <v>845.3</v>
      </c>
    </row>
    <row r="259" spans="1:2" x14ac:dyDescent="0.25">
      <c r="A259" s="281">
        <v>200044048</v>
      </c>
      <c r="B259" s="147">
        <v>798.6</v>
      </c>
    </row>
    <row r="260" spans="1:2" x14ac:dyDescent="0.25">
      <c r="A260" s="281">
        <v>200044253</v>
      </c>
      <c r="B260" s="147">
        <v>996.4</v>
      </c>
    </row>
    <row r="261" spans="1:2" x14ac:dyDescent="0.25">
      <c r="A261" s="281">
        <v>200044394</v>
      </c>
      <c r="B261" s="147">
        <v>996.3</v>
      </c>
    </row>
    <row r="262" spans="1:2" x14ac:dyDescent="0.25">
      <c r="A262" s="281">
        <v>200044469</v>
      </c>
      <c r="B262" s="147">
        <v>864.5</v>
      </c>
    </row>
    <row r="263" spans="1:2" x14ac:dyDescent="0.25">
      <c r="A263" s="281">
        <v>200044618</v>
      </c>
      <c r="B263" s="147">
        <v>2110.9</v>
      </c>
    </row>
    <row r="264" spans="1:2" x14ac:dyDescent="0.25">
      <c r="A264" s="281">
        <v>200046977</v>
      </c>
      <c r="B264" s="147">
        <v>1489.5</v>
      </c>
    </row>
    <row r="265" spans="1:2" x14ac:dyDescent="0.25">
      <c r="A265" s="281">
        <v>200048551</v>
      </c>
      <c r="B265" s="147">
        <v>810.8</v>
      </c>
    </row>
    <row r="266" spans="1:2" x14ac:dyDescent="0.25">
      <c r="A266" s="281">
        <v>200049187</v>
      </c>
      <c r="B266" s="147">
        <v>1353.9</v>
      </c>
    </row>
    <row r="267" spans="1:2" x14ac:dyDescent="0.25">
      <c r="A267" s="281">
        <v>200049211</v>
      </c>
      <c r="B267" s="147">
        <v>1586.2</v>
      </c>
    </row>
    <row r="268" spans="1:2" x14ac:dyDescent="0.25">
      <c r="A268" s="281">
        <v>200049484</v>
      </c>
      <c r="B268" s="147">
        <v>770.4</v>
      </c>
    </row>
    <row r="269" spans="1:2" x14ac:dyDescent="0.25">
      <c r="A269" s="281">
        <v>200054781</v>
      </c>
      <c r="B269" s="147">
        <v>3617.3</v>
      </c>
    </row>
    <row r="270" spans="1:2" x14ac:dyDescent="0.25">
      <c r="A270" s="281">
        <v>200054807</v>
      </c>
      <c r="B270" s="147">
        <v>1952.4</v>
      </c>
    </row>
    <row r="271" spans="1:2" x14ac:dyDescent="0.25">
      <c r="A271" s="281">
        <v>200055481</v>
      </c>
      <c r="B271" s="147">
        <v>879.8</v>
      </c>
    </row>
    <row r="272" spans="1:2" x14ac:dyDescent="0.25">
      <c r="A272" s="281">
        <v>200055655</v>
      </c>
      <c r="B272" s="147">
        <v>1940.5</v>
      </c>
    </row>
    <row r="273" spans="1:2" x14ac:dyDescent="0.25">
      <c r="A273" s="281">
        <v>200055887</v>
      </c>
      <c r="B273" s="147">
        <v>950.4</v>
      </c>
    </row>
    <row r="274" spans="1:2" x14ac:dyDescent="0.25">
      <c r="A274" s="281">
        <v>200056232</v>
      </c>
      <c r="B274" s="147">
        <v>3228.7</v>
      </c>
    </row>
    <row r="275" spans="1:2" x14ac:dyDescent="0.25">
      <c r="A275" s="281">
        <v>200056380</v>
      </c>
      <c r="B275" s="147">
        <v>1329.1</v>
      </c>
    </row>
    <row r="276" spans="1:2" x14ac:dyDescent="0.25">
      <c r="A276" s="281">
        <v>200057859</v>
      </c>
      <c r="B276" s="147">
        <v>2381.8000000000002</v>
      </c>
    </row>
    <row r="277" spans="1:2" x14ac:dyDescent="0.25">
      <c r="A277" s="281">
        <v>200057958</v>
      </c>
      <c r="B277" s="147">
        <v>2713.2</v>
      </c>
    </row>
    <row r="278" spans="1:2" x14ac:dyDescent="0.25">
      <c r="A278" s="281">
        <v>200058360</v>
      </c>
      <c r="B278" s="147">
        <v>782</v>
      </c>
    </row>
    <row r="279" spans="1:2" x14ac:dyDescent="0.25">
      <c r="A279" s="281">
        <v>200058477</v>
      </c>
      <c r="B279" s="147">
        <v>1423</v>
      </c>
    </row>
    <row r="280" spans="1:2" x14ac:dyDescent="0.25">
      <c r="A280" s="281">
        <v>200058485</v>
      </c>
      <c r="B280" s="147">
        <v>1350.9</v>
      </c>
    </row>
    <row r="281" spans="1:2" x14ac:dyDescent="0.25">
      <c r="A281" s="281">
        <v>200058519</v>
      </c>
      <c r="B281" s="147">
        <v>1350.5</v>
      </c>
    </row>
    <row r="282" spans="1:2" x14ac:dyDescent="0.25">
      <c r="A282" s="281">
        <v>200058782</v>
      </c>
      <c r="B282" s="147">
        <v>2028.9</v>
      </c>
    </row>
    <row r="283" spans="1:2" x14ac:dyDescent="0.25">
      <c r="A283" s="281">
        <v>200059228</v>
      </c>
      <c r="B283" s="147">
        <v>2934.6</v>
      </c>
    </row>
    <row r="284" spans="1:2" x14ac:dyDescent="0.25">
      <c r="A284" s="281">
        <v>200059392</v>
      </c>
      <c r="B284" s="147">
        <v>828.4</v>
      </c>
    </row>
    <row r="285" spans="1:2" x14ac:dyDescent="0.25">
      <c r="A285" s="281">
        <v>200059400</v>
      </c>
      <c r="B285" s="147">
        <v>1290</v>
      </c>
    </row>
    <row r="286" spans="1:2" x14ac:dyDescent="0.25">
      <c r="A286" s="281">
        <v>200059889</v>
      </c>
      <c r="B286" s="147">
        <v>1623.8</v>
      </c>
    </row>
    <row r="287" spans="1:2" x14ac:dyDescent="0.25">
      <c r="A287" s="281">
        <v>200060010</v>
      </c>
      <c r="B287" s="147">
        <v>592.20000000000005</v>
      </c>
    </row>
    <row r="288" spans="1:2" x14ac:dyDescent="0.25">
      <c r="A288" s="281">
        <v>200065563</v>
      </c>
      <c r="B288" s="147">
        <v>1346.1</v>
      </c>
    </row>
    <row r="289" spans="1:2" x14ac:dyDescent="0.25">
      <c r="A289" s="281">
        <v>200065589</v>
      </c>
      <c r="B289" s="147">
        <v>715.4</v>
      </c>
    </row>
    <row r="290" spans="1:2" x14ac:dyDescent="0.25">
      <c r="A290" s="281">
        <v>200065597</v>
      </c>
      <c r="B290" s="147">
        <v>3438.7</v>
      </c>
    </row>
    <row r="291" spans="1:2" x14ac:dyDescent="0.25">
      <c r="A291" s="281">
        <v>200065647</v>
      </c>
      <c r="B291" s="147">
        <v>1600.7</v>
      </c>
    </row>
    <row r="292" spans="1:2" x14ac:dyDescent="0.25">
      <c r="A292" s="281">
        <v>200065787</v>
      </c>
      <c r="B292" s="147">
        <v>897.1</v>
      </c>
    </row>
    <row r="293" spans="1:2" x14ac:dyDescent="0.25">
      <c r="A293" s="281">
        <v>200065886</v>
      </c>
      <c r="B293" s="147">
        <v>1036.7</v>
      </c>
    </row>
    <row r="294" spans="1:2" x14ac:dyDescent="0.25">
      <c r="A294" s="281">
        <v>200065894</v>
      </c>
      <c r="B294" s="147">
        <v>777.9</v>
      </c>
    </row>
    <row r="295" spans="1:2" x14ac:dyDescent="0.25">
      <c r="A295" s="281">
        <v>200065928</v>
      </c>
      <c r="B295" s="147">
        <v>1398.7</v>
      </c>
    </row>
    <row r="296" spans="1:2" x14ac:dyDescent="0.25">
      <c r="A296" s="281">
        <v>200066009</v>
      </c>
      <c r="B296" s="147">
        <v>1599.9</v>
      </c>
    </row>
    <row r="297" spans="1:2" x14ac:dyDescent="0.25">
      <c r="A297" s="281">
        <v>200066017</v>
      </c>
      <c r="B297" s="147">
        <v>731.8</v>
      </c>
    </row>
    <row r="298" spans="1:2" x14ac:dyDescent="0.25">
      <c r="A298" s="281">
        <v>200066025</v>
      </c>
      <c r="B298" s="147">
        <v>877.8</v>
      </c>
    </row>
    <row r="299" spans="1:2" x14ac:dyDescent="0.25">
      <c r="A299" s="281">
        <v>200066033</v>
      </c>
      <c r="B299" s="147">
        <v>739.3</v>
      </c>
    </row>
    <row r="300" spans="1:2" x14ac:dyDescent="0.25">
      <c r="A300" s="281">
        <v>200066041</v>
      </c>
      <c r="B300" s="147">
        <v>820.3</v>
      </c>
    </row>
    <row r="301" spans="1:2" x14ac:dyDescent="0.25">
      <c r="A301" s="281">
        <v>200066058</v>
      </c>
      <c r="B301" s="147">
        <v>1713.4</v>
      </c>
    </row>
    <row r="302" spans="1:2" x14ac:dyDescent="0.25">
      <c r="A302" s="281">
        <v>200066108</v>
      </c>
      <c r="B302" s="147">
        <v>1495.7</v>
      </c>
    </row>
    <row r="303" spans="1:2" x14ac:dyDescent="0.25">
      <c r="A303" s="281">
        <v>200066116</v>
      </c>
      <c r="B303" s="147">
        <v>835.9</v>
      </c>
    </row>
    <row r="304" spans="1:2" x14ac:dyDescent="0.25">
      <c r="A304" s="281">
        <v>200066124</v>
      </c>
      <c r="B304" s="147">
        <v>1026.2</v>
      </c>
    </row>
    <row r="305" spans="1:2" x14ac:dyDescent="0.25">
      <c r="A305" s="281">
        <v>200066132</v>
      </c>
      <c r="B305" s="147">
        <v>773.6</v>
      </c>
    </row>
    <row r="306" spans="1:2" x14ac:dyDescent="0.25">
      <c r="A306" s="281">
        <v>200066140</v>
      </c>
      <c r="B306" s="147">
        <v>810.9</v>
      </c>
    </row>
    <row r="307" spans="1:2" x14ac:dyDescent="0.25">
      <c r="A307" s="281">
        <v>200066157</v>
      </c>
      <c r="B307" s="147">
        <v>1162</v>
      </c>
    </row>
    <row r="308" spans="1:2" x14ac:dyDescent="0.25">
      <c r="A308" s="281">
        <v>200066165</v>
      </c>
      <c r="B308" s="147">
        <v>1076.0999999999999</v>
      </c>
    </row>
    <row r="309" spans="1:2" x14ac:dyDescent="0.25">
      <c r="A309" s="281">
        <v>200066173</v>
      </c>
      <c r="B309" s="147">
        <v>873.9</v>
      </c>
    </row>
    <row r="310" spans="1:2" x14ac:dyDescent="0.25">
      <c r="A310" s="281">
        <v>200066223</v>
      </c>
      <c r="B310" s="147">
        <v>839.2</v>
      </c>
    </row>
    <row r="311" spans="1:2" x14ac:dyDescent="0.25">
      <c r="A311" s="281">
        <v>200066231</v>
      </c>
      <c r="B311" s="147">
        <v>1129.0999999999999</v>
      </c>
    </row>
    <row r="312" spans="1:2" x14ac:dyDescent="0.25">
      <c r="A312" s="281">
        <v>200066280</v>
      </c>
      <c r="B312" s="147">
        <v>1014.9</v>
      </c>
    </row>
    <row r="313" spans="1:2" x14ac:dyDescent="0.25">
      <c r="A313" s="281">
        <v>200066322</v>
      </c>
      <c r="B313" s="147">
        <v>1148.4000000000001</v>
      </c>
    </row>
    <row r="314" spans="1:2" x14ac:dyDescent="0.25">
      <c r="A314" s="281">
        <v>200066330</v>
      </c>
      <c r="B314" s="147">
        <v>715.8</v>
      </c>
    </row>
    <row r="315" spans="1:2" x14ac:dyDescent="0.25">
      <c r="A315" s="281">
        <v>200066348</v>
      </c>
      <c r="B315" s="147">
        <v>1174.3</v>
      </c>
    </row>
    <row r="316" spans="1:2" x14ac:dyDescent="0.25">
      <c r="A316" s="281">
        <v>200066355</v>
      </c>
      <c r="B316" s="147">
        <v>1768.2</v>
      </c>
    </row>
    <row r="317" spans="1:2" x14ac:dyDescent="0.25">
      <c r="A317" s="281">
        <v>200066363</v>
      </c>
      <c r="B317" s="147">
        <v>2682.5</v>
      </c>
    </row>
    <row r="318" spans="1:2" x14ac:dyDescent="0.25">
      <c r="A318" s="281">
        <v>200066371</v>
      </c>
      <c r="B318" s="147">
        <v>1644.3</v>
      </c>
    </row>
    <row r="319" spans="1:2" x14ac:dyDescent="0.25">
      <c r="A319" s="281">
        <v>200066389</v>
      </c>
      <c r="B319" s="147">
        <v>3805.7</v>
      </c>
    </row>
    <row r="320" spans="1:2" x14ac:dyDescent="0.25">
      <c r="A320" s="281">
        <v>200066405</v>
      </c>
      <c r="B320" s="147">
        <v>1021.1</v>
      </c>
    </row>
    <row r="321" spans="1:2" x14ac:dyDescent="0.25">
      <c r="A321" s="281">
        <v>200066413</v>
      </c>
      <c r="B321" s="147">
        <v>1046.5999999999999</v>
      </c>
    </row>
    <row r="322" spans="1:2" x14ac:dyDescent="0.25">
      <c r="A322" s="281">
        <v>200066462</v>
      </c>
      <c r="B322" s="147">
        <v>895.2</v>
      </c>
    </row>
    <row r="323" spans="1:2" x14ac:dyDescent="0.25">
      <c r="A323" s="281">
        <v>200066512</v>
      </c>
      <c r="B323" s="147">
        <v>920.5</v>
      </c>
    </row>
    <row r="324" spans="1:2" x14ac:dyDescent="0.25">
      <c r="A324" s="281">
        <v>200066520</v>
      </c>
      <c r="B324" s="147">
        <v>1041.5</v>
      </c>
    </row>
    <row r="325" spans="1:2" x14ac:dyDescent="0.25">
      <c r="A325" s="281">
        <v>200066553</v>
      </c>
      <c r="B325" s="147">
        <v>1653.2</v>
      </c>
    </row>
    <row r="326" spans="1:2" x14ac:dyDescent="0.25">
      <c r="A326" s="281">
        <v>200066561</v>
      </c>
      <c r="B326" s="147">
        <v>992.6</v>
      </c>
    </row>
    <row r="327" spans="1:2" x14ac:dyDescent="0.25">
      <c r="A327" s="281">
        <v>200066587</v>
      </c>
      <c r="B327" s="147">
        <v>600.29999999999995</v>
      </c>
    </row>
    <row r="328" spans="1:2" x14ac:dyDescent="0.25">
      <c r="A328" s="281">
        <v>200066603</v>
      </c>
      <c r="B328" s="147">
        <v>1057.7</v>
      </c>
    </row>
    <row r="329" spans="1:2" x14ac:dyDescent="0.25">
      <c r="A329" s="281">
        <v>200066637</v>
      </c>
      <c r="B329" s="147">
        <v>1288.2</v>
      </c>
    </row>
    <row r="330" spans="1:2" x14ac:dyDescent="0.25">
      <c r="A330" s="281">
        <v>200066645</v>
      </c>
      <c r="B330" s="147">
        <v>684.2</v>
      </c>
    </row>
    <row r="331" spans="1:2" x14ac:dyDescent="0.25">
      <c r="A331" s="281">
        <v>200066652</v>
      </c>
      <c r="B331" s="147">
        <v>944.3</v>
      </c>
    </row>
    <row r="332" spans="1:2" x14ac:dyDescent="0.25">
      <c r="A332" s="281">
        <v>200066660</v>
      </c>
      <c r="B332" s="147">
        <v>1121.5999999999999</v>
      </c>
    </row>
    <row r="333" spans="1:2" x14ac:dyDescent="0.25">
      <c r="A333" s="281">
        <v>200066678</v>
      </c>
      <c r="B333" s="147">
        <v>1155.4000000000001</v>
      </c>
    </row>
    <row r="334" spans="1:2" x14ac:dyDescent="0.25">
      <c r="A334" s="281">
        <v>200066710</v>
      </c>
      <c r="B334" s="147">
        <v>747</v>
      </c>
    </row>
    <row r="335" spans="1:2" x14ac:dyDescent="0.25">
      <c r="A335" s="281">
        <v>200066728</v>
      </c>
      <c r="B335" s="147">
        <v>689.8</v>
      </c>
    </row>
    <row r="336" spans="1:2" x14ac:dyDescent="0.25">
      <c r="A336" s="281">
        <v>200066744</v>
      </c>
      <c r="B336" s="147">
        <v>1255.5</v>
      </c>
    </row>
    <row r="337" spans="1:2" x14ac:dyDescent="0.25">
      <c r="A337" s="281">
        <v>200066751</v>
      </c>
      <c r="B337" s="147">
        <v>962.3</v>
      </c>
    </row>
    <row r="338" spans="1:2" x14ac:dyDescent="0.25">
      <c r="A338" s="281">
        <v>200066769</v>
      </c>
      <c r="B338" s="147">
        <v>877.7</v>
      </c>
    </row>
    <row r="339" spans="1:2" x14ac:dyDescent="0.25">
      <c r="A339" s="281">
        <v>200066777</v>
      </c>
      <c r="B339" s="147">
        <v>818</v>
      </c>
    </row>
    <row r="340" spans="1:2" x14ac:dyDescent="0.25">
      <c r="A340" s="281">
        <v>200066785</v>
      </c>
      <c r="B340" s="147">
        <v>765.6</v>
      </c>
    </row>
    <row r="341" spans="1:2" x14ac:dyDescent="0.25">
      <c r="A341" s="281">
        <v>200066793</v>
      </c>
      <c r="B341" s="147">
        <v>2831.6</v>
      </c>
    </row>
    <row r="342" spans="1:2" x14ac:dyDescent="0.25">
      <c r="A342" s="281">
        <v>200066801</v>
      </c>
      <c r="B342" s="147">
        <v>811.1</v>
      </c>
    </row>
    <row r="343" spans="1:2" x14ac:dyDescent="0.25">
      <c r="A343" s="281">
        <v>200066819</v>
      </c>
      <c r="B343" s="147">
        <v>1314.6</v>
      </c>
    </row>
    <row r="344" spans="1:2" x14ac:dyDescent="0.25">
      <c r="A344" s="281">
        <v>200066827</v>
      </c>
      <c r="B344" s="147">
        <v>1180.3</v>
      </c>
    </row>
    <row r="345" spans="1:2" x14ac:dyDescent="0.25">
      <c r="A345" s="281">
        <v>200066835</v>
      </c>
      <c r="B345" s="147">
        <v>897.4</v>
      </c>
    </row>
    <row r="346" spans="1:2" x14ac:dyDescent="0.25">
      <c r="A346" s="281">
        <v>200066850</v>
      </c>
      <c r="B346" s="147">
        <v>775.2</v>
      </c>
    </row>
    <row r="347" spans="1:2" x14ac:dyDescent="0.25">
      <c r="A347" s="281">
        <v>200066868</v>
      </c>
      <c r="B347" s="147">
        <v>1450.1</v>
      </c>
    </row>
    <row r="348" spans="1:2" x14ac:dyDescent="0.25">
      <c r="A348" s="281">
        <v>200066876</v>
      </c>
      <c r="B348" s="147">
        <v>4844.8</v>
      </c>
    </row>
    <row r="349" spans="1:2" x14ac:dyDescent="0.25">
      <c r="A349" s="281">
        <v>200066884</v>
      </c>
      <c r="B349" s="147">
        <v>1122.8</v>
      </c>
    </row>
    <row r="350" spans="1:2" x14ac:dyDescent="0.25">
      <c r="A350" s="281">
        <v>200066892</v>
      </c>
      <c r="B350" s="147">
        <v>1835.5</v>
      </c>
    </row>
    <row r="351" spans="1:2" x14ac:dyDescent="0.25">
      <c r="A351" s="281">
        <v>200066918</v>
      </c>
      <c r="B351" s="147">
        <v>1266.2</v>
      </c>
    </row>
    <row r="352" spans="1:2" x14ac:dyDescent="0.25">
      <c r="A352" s="281">
        <v>200066926</v>
      </c>
      <c r="B352" s="147">
        <v>4488.8</v>
      </c>
    </row>
    <row r="353" spans="1:2" x14ac:dyDescent="0.25">
      <c r="A353" s="281">
        <v>200066975</v>
      </c>
      <c r="B353" s="147">
        <v>1243.5</v>
      </c>
    </row>
    <row r="354" spans="1:2" x14ac:dyDescent="0.25">
      <c r="A354" s="281">
        <v>200067023</v>
      </c>
      <c r="B354" s="147">
        <v>1175.5</v>
      </c>
    </row>
    <row r="355" spans="1:2" x14ac:dyDescent="0.25">
      <c r="A355" s="281">
        <v>200067031</v>
      </c>
      <c r="B355" s="147">
        <v>958.7</v>
      </c>
    </row>
    <row r="356" spans="1:2" x14ac:dyDescent="0.25">
      <c r="A356" s="281">
        <v>200067049</v>
      </c>
      <c r="B356" s="147">
        <v>1254.0999999999999</v>
      </c>
    </row>
    <row r="357" spans="1:2" x14ac:dyDescent="0.25">
      <c r="A357" s="281">
        <v>200067064</v>
      </c>
      <c r="B357" s="147">
        <v>1492.7</v>
      </c>
    </row>
    <row r="358" spans="1:2" x14ac:dyDescent="0.25">
      <c r="A358" s="281">
        <v>200067072</v>
      </c>
      <c r="B358" s="147">
        <v>847.1</v>
      </c>
    </row>
    <row r="359" spans="1:2" x14ac:dyDescent="0.25">
      <c r="A359" s="281">
        <v>200067080</v>
      </c>
      <c r="B359" s="147">
        <v>874.4</v>
      </c>
    </row>
    <row r="360" spans="1:2" x14ac:dyDescent="0.25">
      <c r="A360" s="281">
        <v>200067106</v>
      </c>
      <c r="B360" s="147">
        <v>1632.4</v>
      </c>
    </row>
    <row r="361" spans="1:2" x14ac:dyDescent="0.25">
      <c r="A361" s="281">
        <v>200067114</v>
      </c>
      <c r="B361" s="147">
        <v>3810.7</v>
      </c>
    </row>
    <row r="362" spans="1:2" x14ac:dyDescent="0.25">
      <c r="A362" s="281">
        <v>200067122</v>
      </c>
      <c r="B362" s="147">
        <v>982.4</v>
      </c>
    </row>
    <row r="363" spans="1:2" x14ac:dyDescent="0.25">
      <c r="A363" s="281">
        <v>200067130</v>
      </c>
      <c r="B363" s="147">
        <v>861.2</v>
      </c>
    </row>
    <row r="364" spans="1:2" x14ac:dyDescent="0.25">
      <c r="A364" s="281">
        <v>200067155</v>
      </c>
      <c r="B364" s="147">
        <v>1063.3</v>
      </c>
    </row>
    <row r="365" spans="1:2" x14ac:dyDescent="0.25">
      <c r="A365" s="281">
        <v>200067163</v>
      </c>
      <c r="B365" s="147">
        <v>823.7</v>
      </c>
    </row>
    <row r="366" spans="1:2" x14ac:dyDescent="0.25">
      <c r="A366" s="281">
        <v>200067171</v>
      </c>
      <c r="B366" s="147">
        <v>950.1</v>
      </c>
    </row>
    <row r="367" spans="1:2" x14ac:dyDescent="0.25">
      <c r="A367" s="281">
        <v>200067189</v>
      </c>
      <c r="B367" s="147">
        <v>867.5</v>
      </c>
    </row>
    <row r="368" spans="1:2" x14ac:dyDescent="0.25">
      <c r="A368" s="281">
        <v>200067197</v>
      </c>
      <c r="B368" s="147">
        <v>773.3</v>
      </c>
    </row>
    <row r="369" spans="1:2" x14ac:dyDescent="0.25">
      <c r="A369" s="281">
        <v>200067205</v>
      </c>
      <c r="B369" s="147">
        <v>1705.7</v>
      </c>
    </row>
    <row r="370" spans="1:2" x14ac:dyDescent="0.25">
      <c r="A370" s="281">
        <v>200067213</v>
      </c>
      <c r="B370" s="147">
        <v>1666.7</v>
      </c>
    </row>
    <row r="371" spans="1:2" x14ac:dyDescent="0.25">
      <c r="A371" s="281">
        <v>200067221</v>
      </c>
      <c r="B371" s="147">
        <v>780</v>
      </c>
    </row>
    <row r="372" spans="1:2" x14ac:dyDescent="0.25">
      <c r="A372" s="281">
        <v>200067239</v>
      </c>
      <c r="B372" s="147">
        <v>963.9</v>
      </c>
    </row>
    <row r="373" spans="1:2" x14ac:dyDescent="0.25">
      <c r="A373" s="281">
        <v>200067247</v>
      </c>
      <c r="B373" s="147">
        <v>1053.4000000000001</v>
      </c>
    </row>
    <row r="374" spans="1:2" x14ac:dyDescent="0.25">
      <c r="A374" s="281">
        <v>200067254</v>
      </c>
      <c r="B374" s="147">
        <v>2899.1</v>
      </c>
    </row>
    <row r="375" spans="1:2" x14ac:dyDescent="0.25">
      <c r="A375" s="281">
        <v>200067262</v>
      </c>
      <c r="B375" s="147">
        <v>1187</v>
      </c>
    </row>
    <row r="376" spans="1:2" x14ac:dyDescent="0.25">
      <c r="A376" s="281">
        <v>200067288</v>
      </c>
      <c r="B376" s="147">
        <v>878.6</v>
      </c>
    </row>
    <row r="377" spans="1:2" x14ac:dyDescent="0.25">
      <c r="A377" s="281">
        <v>200067296</v>
      </c>
      <c r="B377" s="147">
        <v>696.5</v>
      </c>
    </row>
    <row r="378" spans="1:2" x14ac:dyDescent="0.25">
      <c r="A378" s="281">
        <v>200067304</v>
      </c>
      <c r="B378" s="147">
        <v>836.9</v>
      </c>
    </row>
    <row r="379" spans="1:2" x14ac:dyDescent="0.25">
      <c r="A379" s="281">
        <v>200067320</v>
      </c>
      <c r="B379" s="147">
        <v>785.6</v>
      </c>
    </row>
    <row r="380" spans="1:2" x14ac:dyDescent="0.25">
      <c r="A380" s="281">
        <v>200067346</v>
      </c>
      <c r="B380" s="147">
        <v>778.6</v>
      </c>
    </row>
    <row r="381" spans="1:2" x14ac:dyDescent="0.25">
      <c r="A381" s="281">
        <v>200067361</v>
      </c>
      <c r="B381" s="147">
        <v>1338.1</v>
      </c>
    </row>
    <row r="382" spans="1:2" x14ac:dyDescent="0.25">
      <c r="A382" s="281">
        <v>200067379</v>
      </c>
      <c r="B382" s="147">
        <v>670.1</v>
      </c>
    </row>
    <row r="383" spans="1:2" x14ac:dyDescent="0.25">
      <c r="A383" s="281">
        <v>200067429</v>
      </c>
      <c r="B383" s="147">
        <v>1239.7</v>
      </c>
    </row>
    <row r="384" spans="1:2" x14ac:dyDescent="0.25">
      <c r="A384" s="281">
        <v>200067437</v>
      </c>
      <c r="B384" s="147">
        <v>3908.8</v>
      </c>
    </row>
    <row r="385" spans="1:2" x14ac:dyDescent="0.25">
      <c r="A385" s="281">
        <v>200067445</v>
      </c>
      <c r="B385" s="147">
        <v>2160.9</v>
      </c>
    </row>
    <row r="386" spans="1:2" x14ac:dyDescent="0.25">
      <c r="A386" s="281">
        <v>200067452</v>
      </c>
      <c r="B386" s="147">
        <v>2408</v>
      </c>
    </row>
    <row r="387" spans="1:2" x14ac:dyDescent="0.25">
      <c r="A387" s="281">
        <v>200067460</v>
      </c>
      <c r="B387" s="147">
        <v>1200</v>
      </c>
    </row>
    <row r="388" spans="1:2" x14ac:dyDescent="0.25">
      <c r="A388" s="281">
        <v>200067478</v>
      </c>
      <c r="B388" s="147">
        <v>743.3</v>
      </c>
    </row>
    <row r="389" spans="1:2" x14ac:dyDescent="0.25">
      <c r="A389" s="281">
        <v>200067486</v>
      </c>
      <c r="B389" s="147">
        <v>647.9</v>
      </c>
    </row>
    <row r="390" spans="1:2" x14ac:dyDescent="0.25">
      <c r="A390" s="281">
        <v>200067502</v>
      </c>
      <c r="B390" s="147">
        <v>1103.8</v>
      </c>
    </row>
    <row r="391" spans="1:2" x14ac:dyDescent="0.25">
      <c r="A391" s="281">
        <v>200067544</v>
      </c>
      <c r="B391" s="147">
        <v>965.9</v>
      </c>
    </row>
    <row r="392" spans="1:2" x14ac:dyDescent="0.25">
      <c r="A392" s="281">
        <v>200067551</v>
      </c>
      <c r="B392" s="147">
        <v>1008.1</v>
      </c>
    </row>
    <row r="393" spans="1:2" x14ac:dyDescent="0.25">
      <c r="A393" s="281">
        <v>200067593</v>
      </c>
      <c r="B393" s="147">
        <v>898.2</v>
      </c>
    </row>
    <row r="394" spans="1:2" x14ac:dyDescent="0.25">
      <c r="A394" s="281">
        <v>200067627</v>
      </c>
      <c r="B394" s="147">
        <v>1205.8</v>
      </c>
    </row>
    <row r="395" spans="1:2" x14ac:dyDescent="0.25">
      <c r="A395" s="281">
        <v>200067635</v>
      </c>
      <c r="B395" s="147">
        <v>751.2</v>
      </c>
    </row>
    <row r="396" spans="1:2" x14ac:dyDescent="0.25">
      <c r="A396" s="281">
        <v>200067643</v>
      </c>
      <c r="B396" s="147">
        <v>1327.8</v>
      </c>
    </row>
    <row r="397" spans="1:2" x14ac:dyDescent="0.25">
      <c r="A397" s="281">
        <v>200067650</v>
      </c>
      <c r="B397" s="147">
        <v>622.70000000000005</v>
      </c>
    </row>
    <row r="398" spans="1:2" x14ac:dyDescent="0.25">
      <c r="A398" s="281">
        <v>200067668</v>
      </c>
      <c r="B398" s="147">
        <v>847</v>
      </c>
    </row>
    <row r="399" spans="1:2" x14ac:dyDescent="0.25">
      <c r="A399" s="281">
        <v>200067676</v>
      </c>
      <c r="B399" s="147">
        <v>757.3</v>
      </c>
    </row>
    <row r="400" spans="1:2" x14ac:dyDescent="0.25">
      <c r="A400" s="281">
        <v>200067684</v>
      </c>
      <c r="B400" s="147">
        <v>1749.6</v>
      </c>
    </row>
    <row r="401" spans="1:2" x14ac:dyDescent="0.25">
      <c r="A401" s="281">
        <v>200067692</v>
      </c>
      <c r="B401" s="147">
        <v>847.3</v>
      </c>
    </row>
    <row r="402" spans="1:2" x14ac:dyDescent="0.25">
      <c r="A402" s="281">
        <v>200067700</v>
      </c>
      <c r="B402" s="147">
        <v>897.6</v>
      </c>
    </row>
    <row r="403" spans="1:2" x14ac:dyDescent="0.25">
      <c r="A403" s="281">
        <v>200067742</v>
      </c>
      <c r="B403" s="147">
        <v>1516.1</v>
      </c>
    </row>
    <row r="404" spans="1:2" x14ac:dyDescent="0.25">
      <c r="A404" s="281">
        <v>200067759</v>
      </c>
      <c r="B404" s="147">
        <v>839.2</v>
      </c>
    </row>
    <row r="405" spans="1:2" x14ac:dyDescent="0.25">
      <c r="A405" s="281">
        <v>200067767</v>
      </c>
      <c r="B405" s="147">
        <v>1085.7</v>
      </c>
    </row>
    <row r="406" spans="1:2" x14ac:dyDescent="0.25">
      <c r="A406" s="281">
        <v>200067783</v>
      </c>
      <c r="B406" s="147">
        <v>881.7</v>
      </c>
    </row>
    <row r="407" spans="1:2" x14ac:dyDescent="0.25">
      <c r="A407" s="281">
        <v>200067791</v>
      </c>
      <c r="B407" s="147">
        <v>4745.8</v>
      </c>
    </row>
    <row r="408" spans="1:2" x14ac:dyDescent="0.25">
      <c r="A408" s="281">
        <v>200067817</v>
      </c>
      <c r="B408" s="147">
        <v>644.70000000000005</v>
      </c>
    </row>
    <row r="409" spans="1:2" x14ac:dyDescent="0.25">
      <c r="A409" s="281">
        <v>200067825</v>
      </c>
      <c r="B409" s="147">
        <v>3453.7</v>
      </c>
    </row>
    <row r="410" spans="1:2" x14ac:dyDescent="0.25">
      <c r="A410" s="281">
        <v>200067841</v>
      </c>
      <c r="B410" s="147">
        <v>1150.4000000000001</v>
      </c>
    </row>
    <row r="411" spans="1:2" x14ac:dyDescent="0.25">
      <c r="A411" s="281">
        <v>200067866</v>
      </c>
      <c r="B411" s="147">
        <v>729.7</v>
      </c>
    </row>
    <row r="412" spans="1:2" x14ac:dyDescent="0.25">
      <c r="A412" s="281">
        <v>200067874</v>
      </c>
      <c r="B412" s="147">
        <v>933.7</v>
      </c>
    </row>
    <row r="413" spans="1:2" x14ac:dyDescent="0.25">
      <c r="A413" s="281">
        <v>200067882</v>
      </c>
      <c r="B413" s="147">
        <v>934.7</v>
      </c>
    </row>
    <row r="414" spans="1:2" x14ac:dyDescent="0.25">
      <c r="A414" s="281">
        <v>200067890</v>
      </c>
      <c r="B414" s="147">
        <v>1163.9000000000001</v>
      </c>
    </row>
    <row r="415" spans="1:2" x14ac:dyDescent="0.25">
      <c r="A415" s="281">
        <v>200067908</v>
      </c>
      <c r="B415" s="147">
        <v>774.9</v>
      </c>
    </row>
    <row r="416" spans="1:2" x14ac:dyDescent="0.25">
      <c r="A416" s="281">
        <v>200067916</v>
      </c>
      <c r="B416" s="147">
        <v>1018.1</v>
      </c>
    </row>
    <row r="417" spans="1:2" x14ac:dyDescent="0.25">
      <c r="A417" s="281">
        <v>200067924</v>
      </c>
      <c r="B417" s="147">
        <v>818</v>
      </c>
    </row>
    <row r="418" spans="1:2" x14ac:dyDescent="0.25">
      <c r="A418" s="281">
        <v>200067932</v>
      </c>
      <c r="B418" s="147">
        <v>2759.6</v>
      </c>
    </row>
    <row r="419" spans="1:2" x14ac:dyDescent="0.25">
      <c r="A419" s="281">
        <v>200067940</v>
      </c>
      <c r="B419" s="147">
        <v>1425</v>
      </c>
    </row>
    <row r="420" spans="1:2" x14ac:dyDescent="0.25">
      <c r="A420" s="281">
        <v>200067957</v>
      </c>
      <c r="B420" s="147">
        <v>640.20000000000005</v>
      </c>
    </row>
    <row r="421" spans="1:2" x14ac:dyDescent="0.25">
      <c r="A421" s="281">
        <v>200067965</v>
      </c>
      <c r="B421" s="147">
        <v>1557.4</v>
      </c>
    </row>
    <row r="422" spans="1:2" x14ac:dyDescent="0.25">
      <c r="A422" s="281">
        <v>200067973</v>
      </c>
      <c r="B422" s="147">
        <v>1057.2</v>
      </c>
    </row>
    <row r="423" spans="1:2" x14ac:dyDescent="0.25">
      <c r="A423" s="281">
        <v>200067981</v>
      </c>
      <c r="B423" s="147">
        <v>1176.0999999999999</v>
      </c>
    </row>
    <row r="424" spans="1:2" x14ac:dyDescent="0.25">
      <c r="A424" s="281">
        <v>200067999</v>
      </c>
      <c r="B424" s="147">
        <v>4234.1000000000004</v>
      </c>
    </row>
    <row r="425" spans="1:2" x14ac:dyDescent="0.25">
      <c r="A425" s="281">
        <v>200068005</v>
      </c>
      <c r="B425" s="147">
        <v>754.6</v>
      </c>
    </row>
    <row r="426" spans="1:2" x14ac:dyDescent="0.25">
      <c r="A426" s="281">
        <v>200068047</v>
      </c>
      <c r="B426" s="147">
        <v>2334.1</v>
      </c>
    </row>
    <row r="427" spans="1:2" x14ac:dyDescent="0.25">
      <c r="A427" s="281">
        <v>200068070</v>
      </c>
      <c r="B427" s="147">
        <v>689.1</v>
      </c>
    </row>
    <row r="428" spans="1:2" x14ac:dyDescent="0.25">
      <c r="A428" s="281">
        <v>200068088</v>
      </c>
      <c r="B428" s="147">
        <v>927</v>
      </c>
    </row>
    <row r="429" spans="1:2" x14ac:dyDescent="0.25">
      <c r="A429" s="281">
        <v>200068096</v>
      </c>
      <c r="B429" s="147">
        <v>1146</v>
      </c>
    </row>
    <row r="430" spans="1:2" x14ac:dyDescent="0.25">
      <c r="A430" s="281">
        <v>200068104</v>
      </c>
      <c r="B430" s="147">
        <v>1032.3</v>
      </c>
    </row>
    <row r="431" spans="1:2" x14ac:dyDescent="0.25">
      <c r="A431" s="281">
        <v>200068112</v>
      </c>
      <c r="B431" s="147">
        <v>1254.9000000000001</v>
      </c>
    </row>
    <row r="432" spans="1:2" x14ac:dyDescent="0.25">
      <c r="A432" s="281">
        <v>200068120</v>
      </c>
      <c r="B432" s="147">
        <v>4719.1000000000004</v>
      </c>
    </row>
    <row r="433" spans="1:2" x14ac:dyDescent="0.25">
      <c r="A433" s="281">
        <v>200068146</v>
      </c>
      <c r="B433" s="147">
        <v>1096.3</v>
      </c>
    </row>
    <row r="434" spans="1:2" x14ac:dyDescent="0.25">
      <c r="A434" s="281">
        <v>200068229</v>
      </c>
      <c r="B434" s="147">
        <v>996.4</v>
      </c>
    </row>
    <row r="435" spans="1:2" x14ac:dyDescent="0.25">
      <c r="A435" s="281">
        <v>200068278</v>
      </c>
      <c r="B435" s="147">
        <v>857.7</v>
      </c>
    </row>
    <row r="436" spans="1:2" x14ac:dyDescent="0.25">
      <c r="A436" s="281">
        <v>200068294</v>
      </c>
      <c r="B436" s="147">
        <v>631.5</v>
      </c>
    </row>
    <row r="437" spans="1:2" x14ac:dyDescent="0.25">
      <c r="A437" s="281">
        <v>200068369</v>
      </c>
      <c r="B437" s="147">
        <v>938.6</v>
      </c>
    </row>
    <row r="438" spans="1:2" x14ac:dyDescent="0.25">
      <c r="A438" s="281">
        <v>200068377</v>
      </c>
      <c r="B438" s="147">
        <v>1387.4</v>
      </c>
    </row>
    <row r="439" spans="1:2" x14ac:dyDescent="0.25">
      <c r="A439" s="281">
        <v>200068435</v>
      </c>
      <c r="B439" s="147">
        <v>710.7</v>
      </c>
    </row>
    <row r="440" spans="1:2" x14ac:dyDescent="0.25">
      <c r="A440" s="281">
        <v>200068443</v>
      </c>
      <c r="B440" s="147">
        <v>817.4</v>
      </c>
    </row>
    <row r="441" spans="1:2" x14ac:dyDescent="0.25">
      <c r="A441" s="281">
        <v>200068450</v>
      </c>
      <c r="B441" s="147">
        <v>1538.2</v>
      </c>
    </row>
    <row r="442" spans="1:2" x14ac:dyDescent="0.25">
      <c r="A442" s="281">
        <v>200068468</v>
      </c>
      <c r="B442" s="147">
        <v>847.4</v>
      </c>
    </row>
    <row r="443" spans="1:2" x14ac:dyDescent="0.25">
      <c r="A443" s="281">
        <v>200068484</v>
      </c>
      <c r="B443" s="147">
        <v>893.7</v>
      </c>
    </row>
    <row r="444" spans="1:2" x14ac:dyDescent="0.25">
      <c r="A444" s="281">
        <v>200068500</v>
      </c>
      <c r="B444" s="147">
        <v>1746.7</v>
      </c>
    </row>
    <row r="445" spans="1:2" x14ac:dyDescent="0.25">
      <c r="A445" s="281">
        <v>200068534</v>
      </c>
      <c r="B445" s="147">
        <v>732.8</v>
      </c>
    </row>
    <row r="446" spans="1:2" x14ac:dyDescent="0.25">
      <c r="A446" s="281">
        <v>200068542</v>
      </c>
      <c r="B446" s="147">
        <v>783.6</v>
      </c>
    </row>
    <row r="447" spans="1:2" x14ac:dyDescent="0.25">
      <c r="A447" s="281">
        <v>200068559</v>
      </c>
      <c r="B447" s="147">
        <v>1033.5999999999999</v>
      </c>
    </row>
    <row r="448" spans="1:2" x14ac:dyDescent="0.25">
      <c r="A448" s="281">
        <v>200068567</v>
      </c>
      <c r="B448" s="147">
        <v>910.3</v>
      </c>
    </row>
    <row r="449" spans="1:2" x14ac:dyDescent="0.25">
      <c r="A449" s="281">
        <v>200068625</v>
      </c>
      <c r="B449" s="147">
        <v>1389.6</v>
      </c>
    </row>
    <row r="450" spans="1:2" x14ac:dyDescent="0.25">
      <c r="A450" s="281">
        <v>200068641</v>
      </c>
      <c r="B450" s="147">
        <v>1256.5</v>
      </c>
    </row>
    <row r="451" spans="1:2" x14ac:dyDescent="0.25">
      <c r="A451" s="281">
        <v>200068658</v>
      </c>
      <c r="B451" s="147">
        <v>4276.8</v>
      </c>
    </row>
    <row r="452" spans="1:2" x14ac:dyDescent="0.25">
      <c r="A452" s="281">
        <v>200068666</v>
      </c>
      <c r="B452" s="147">
        <v>1345.6</v>
      </c>
    </row>
    <row r="453" spans="1:2" x14ac:dyDescent="0.25">
      <c r="A453" s="281">
        <v>200068674</v>
      </c>
      <c r="B453" s="147">
        <v>1335.1</v>
      </c>
    </row>
    <row r="454" spans="1:2" x14ac:dyDescent="0.25">
      <c r="A454" s="281">
        <v>200068682</v>
      </c>
      <c r="B454" s="147">
        <v>1191.5999999999999</v>
      </c>
    </row>
    <row r="455" spans="1:2" x14ac:dyDescent="0.25">
      <c r="A455" s="281">
        <v>200068757</v>
      </c>
      <c r="B455" s="147">
        <v>2975.5</v>
      </c>
    </row>
    <row r="456" spans="1:2" x14ac:dyDescent="0.25">
      <c r="A456" s="281">
        <v>200068765</v>
      </c>
      <c r="B456" s="147">
        <v>1310</v>
      </c>
    </row>
    <row r="457" spans="1:2" x14ac:dyDescent="0.25">
      <c r="A457" s="281">
        <v>200068773</v>
      </c>
      <c r="B457" s="147">
        <v>832.9</v>
      </c>
    </row>
    <row r="458" spans="1:2" x14ac:dyDescent="0.25">
      <c r="A458" s="281">
        <v>200068781</v>
      </c>
      <c r="B458" s="147">
        <v>2562.8000000000002</v>
      </c>
    </row>
    <row r="459" spans="1:2" x14ac:dyDescent="0.25">
      <c r="A459" s="281">
        <v>200068799</v>
      </c>
      <c r="B459" s="147">
        <v>935.5</v>
      </c>
    </row>
    <row r="460" spans="1:2" x14ac:dyDescent="0.25">
      <c r="A460" s="281">
        <v>200068807</v>
      </c>
      <c r="B460" s="147">
        <v>850.9</v>
      </c>
    </row>
    <row r="461" spans="1:2" x14ac:dyDescent="0.25">
      <c r="A461" s="281">
        <v>200068815</v>
      </c>
      <c r="B461" s="147">
        <v>1152.7</v>
      </c>
    </row>
    <row r="462" spans="1:2" x14ac:dyDescent="0.25">
      <c r="A462" s="281">
        <v>200068831</v>
      </c>
      <c r="B462" s="147">
        <v>814.3</v>
      </c>
    </row>
    <row r="463" spans="1:2" x14ac:dyDescent="0.25">
      <c r="A463" s="281">
        <v>200068856</v>
      </c>
      <c r="B463" s="147">
        <v>750.4</v>
      </c>
    </row>
    <row r="464" spans="1:2" x14ac:dyDescent="0.25">
      <c r="A464" s="281">
        <v>200068864</v>
      </c>
      <c r="B464" s="147">
        <v>634.1</v>
      </c>
    </row>
    <row r="465" spans="1:2" x14ac:dyDescent="0.25">
      <c r="A465" s="281">
        <v>200068872</v>
      </c>
      <c r="B465" s="147">
        <v>1058.2</v>
      </c>
    </row>
    <row r="466" spans="1:2" x14ac:dyDescent="0.25">
      <c r="A466" s="281">
        <v>200068880</v>
      </c>
      <c r="B466" s="147">
        <v>762.3</v>
      </c>
    </row>
    <row r="467" spans="1:2" x14ac:dyDescent="0.25">
      <c r="A467" s="281">
        <v>200068914</v>
      </c>
      <c r="B467" s="147">
        <v>738.6</v>
      </c>
    </row>
    <row r="468" spans="1:2" x14ac:dyDescent="0.25">
      <c r="A468" s="281">
        <v>200068922</v>
      </c>
      <c r="B468" s="147">
        <v>921.8</v>
      </c>
    </row>
    <row r="469" spans="1:2" x14ac:dyDescent="0.25">
      <c r="A469" s="281">
        <v>200068930</v>
      </c>
      <c r="B469" s="147">
        <v>844.8</v>
      </c>
    </row>
    <row r="470" spans="1:2" x14ac:dyDescent="0.25">
      <c r="A470" s="281">
        <v>200068948</v>
      </c>
      <c r="B470" s="147">
        <v>827</v>
      </c>
    </row>
    <row r="471" spans="1:2" x14ac:dyDescent="0.25">
      <c r="A471" s="281">
        <v>200068955</v>
      </c>
      <c r="B471" s="147">
        <v>784.7</v>
      </c>
    </row>
    <row r="472" spans="1:2" x14ac:dyDescent="0.25">
      <c r="A472" s="281">
        <v>200068963</v>
      </c>
      <c r="B472" s="147">
        <v>694.9</v>
      </c>
    </row>
    <row r="473" spans="1:2" x14ac:dyDescent="0.25">
      <c r="A473" s="281">
        <v>200068989</v>
      </c>
      <c r="B473" s="147">
        <v>1115</v>
      </c>
    </row>
    <row r="474" spans="1:2" x14ac:dyDescent="0.25">
      <c r="A474" s="281">
        <v>200068997</v>
      </c>
      <c r="B474" s="147">
        <v>1494.1</v>
      </c>
    </row>
    <row r="475" spans="1:2" x14ac:dyDescent="0.25">
      <c r="A475" s="281">
        <v>200069003</v>
      </c>
      <c r="B475" s="147">
        <v>796.6</v>
      </c>
    </row>
    <row r="476" spans="1:2" x14ac:dyDescent="0.25">
      <c r="A476" s="281">
        <v>200069029</v>
      </c>
      <c r="B476" s="147">
        <v>1677.4</v>
      </c>
    </row>
    <row r="477" spans="1:2" x14ac:dyDescent="0.25">
      <c r="A477" s="281">
        <v>200069037</v>
      </c>
      <c r="B477" s="147">
        <v>1185.9000000000001</v>
      </c>
    </row>
    <row r="478" spans="1:2" x14ac:dyDescent="0.25">
      <c r="A478" s="281">
        <v>200069052</v>
      </c>
      <c r="B478" s="147">
        <v>2396.3000000000002</v>
      </c>
    </row>
    <row r="479" spans="1:2" x14ac:dyDescent="0.25">
      <c r="A479" s="281">
        <v>200069060</v>
      </c>
      <c r="B479" s="147">
        <v>762.8</v>
      </c>
    </row>
    <row r="480" spans="1:2" x14ac:dyDescent="0.25">
      <c r="A480" s="281">
        <v>200069086</v>
      </c>
      <c r="B480" s="147">
        <v>1161</v>
      </c>
    </row>
    <row r="481" spans="1:2" x14ac:dyDescent="0.25">
      <c r="A481" s="281">
        <v>200069094</v>
      </c>
      <c r="B481" s="147">
        <v>862</v>
      </c>
    </row>
    <row r="482" spans="1:2" x14ac:dyDescent="0.25">
      <c r="A482" s="281">
        <v>200069102</v>
      </c>
      <c r="B482" s="147">
        <v>932.6</v>
      </c>
    </row>
    <row r="483" spans="1:2" x14ac:dyDescent="0.25">
      <c r="A483" s="281">
        <v>200069110</v>
      </c>
      <c r="B483" s="147">
        <v>3989.8</v>
      </c>
    </row>
    <row r="484" spans="1:2" x14ac:dyDescent="0.25">
      <c r="A484" s="281">
        <v>200069128</v>
      </c>
      <c r="B484" s="147">
        <v>1260.5999999999999</v>
      </c>
    </row>
    <row r="485" spans="1:2" x14ac:dyDescent="0.25">
      <c r="A485" s="281">
        <v>200069136</v>
      </c>
      <c r="B485" s="147">
        <v>1455.4</v>
      </c>
    </row>
    <row r="486" spans="1:2" x14ac:dyDescent="0.25">
      <c r="A486" s="281">
        <v>200069144</v>
      </c>
      <c r="B486" s="147">
        <v>867.1</v>
      </c>
    </row>
    <row r="487" spans="1:2" x14ac:dyDescent="0.25">
      <c r="A487" s="281">
        <v>200069151</v>
      </c>
      <c r="B487" s="147">
        <v>2263.6</v>
      </c>
    </row>
    <row r="488" spans="1:2" x14ac:dyDescent="0.25">
      <c r="A488" s="281">
        <v>200069169</v>
      </c>
      <c r="B488" s="147">
        <v>930</v>
      </c>
    </row>
    <row r="489" spans="1:2" x14ac:dyDescent="0.25">
      <c r="A489" s="281">
        <v>200069177</v>
      </c>
      <c r="B489" s="147">
        <v>1286.3</v>
      </c>
    </row>
    <row r="490" spans="1:2" x14ac:dyDescent="0.25">
      <c r="A490" s="281">
        <v>200069185</v>
      </c>
      <c r="B490" s="147">
        <v>772.4</v>
      </c>
    </row>
    <row r="491" spans="1:2" x14ac:dyDescent="0.25">
      <c r="A491" s="281">
        <v>200069193</v>
      </c>
      <c r="B491" s="147">
        <v>769.7</v>
      </c>
    </row>
    <row r="492" spans="1:2" x14ac:dyDescent="0.25">
      <c r="A492" s="281">
        <v>200069227</v>
      </c>
      <c r="B492" s="147">
        <v>1326.5</v>
      </c>
    </row>
    <row r="493" spans="1:2" x14ac:dyDescent="0.25">
      <c r="A493" s="281">
        <v>200069235</v>
      </c>
      <c r="B493" s="147">
        <v>899.9</v>
      </c>
    </row>
    <row r="494" spans="1:2" x14ac:dyDescent="0.25">
      <c r="A494" s="281">
        <v>200069250</v>
      </c>
      <c r="B494" s="147">
        <v>2276</v>
      </c>
    </row>
    <row r="495" spans="1:2" x14ac:dyDescent="0.25">
      <c r="A495" s="281">
        <v>200069268</v>
      </c>
      <c r="B495" s="147">
        <v>1104.5</v>
      </c>
    </row>
    <row r="496" spans="1:2" x14ac:dyDescent="0.25">
      <c r="A496" s="281">
        <v>200069300</v>
      </c>
      <c r="B496" s="147">
        <v>2557.5</v>
      </c>
    </row>
    <row r="497" spans="1:2" x14ac:dyDescent="0.25">
      <c r="A497" s="281">
        <v>200069383</v>
      </c>
      <c r="B497" s="147">
        <v>901.6</v>
      </c>
    </row>
    <row r="498" spans="1:2" x14ac:dyDescent="0.25">
      <c r="A498" s="281">
        <v>200069391</v>
      </c>
      <c r="B498" s="147">
        <v>956.1</v>
      </c>
    </row>
    <row r="499" spans="1:2" x14ac:dyDescent="0.25">
      <c r="A499" s="281">
        <v>200069409</v>
      </c>
      <c r="B499" s="147">
        <v>3433.1</v>
      </c>
    </row>
    <row r="500" spans="1:2" x14ac:dyDescent="0.25">
      <c r="A500" s="281">
        <v>200069417</v>
      </c>
      <c r="B500" s="147">
        <v>978</v>
      </c>
    </row>
    <row r="501" spans="1:2" x14ac:dyDescent="0.25">
      <c r="A501" s="281">
        <v>200069425</v>
      </c>
      <c r="B501" s="147">
        <v>879.7</v>
      </c>
    </row>
    <row r="502" spans="1:2" x14ac:dyDescent="0.25">
      <c r="A502" s="281">
        <v>200069433</v>
      </c>
      <c r="B502" s="147">
        <v>797.4</v>
      </c>
    </row>
    <row r="503" spans="1:2" x14ac:dyDescent="0.25">
      <c r="A503" s="281">
        <v>200069441</v>
      </c>
      <c r="B503" s="147">
        <v>807.3</v>
      </c>
    </row>
    <row r="504" spans="1:2" x14ac:dyDescent="0.25">
      <c r="A504" s="281">
        <v>200069458</v>
      </c>
      <c r="B504" s="147">
        <v>800.6</v>
      </c>
    </row>
    <row r="505" spans="1:2" x14ac:dyDescent="0.25">
      <c r="A505" s="281">
        <v>200069482</v>
      </c>
      <c r="B505" s="147">
        <v>648</v>
      </c>
    </row>
    <row r="506" spans="1:2" x14ac:dyDescent="0.25">
      <c r="A506" s="281">
        <v>200069516</v>
      </c>
      <c r="B506" s="147">
        <v>770.1</v>
      </c>
    </row>
    <row r="507" spans="1:2" x14ac:dyDescent="0.25">
      <c r="A507" s="281">
        <v>200069524</v>
      </c>
      <c r="B507" s="147">
        <v>757.4</v>
      </c>
    </row>
    <row r="508" spans="1:2" x14ac:dyDescent="0.25">
      <c r="A508" s="281">
        <v>200069532</v>
      </c>
      <c r="B508" s="147">
        <v>1201.0999999999999</v>
      </c>
    </row>
    <row r="509" spans="1:2" x14ac:dyDescent="0.25">
      <c r="A509" s="281">
        <v>200069540</v>
      </c>
      <c r="B509" s="147">
        <v>603.9</v>
      </c>
    </row>
    <row r="510" spans="1:2" x14ac:dyDescent="0.25">
      <c r="A510" s="281">
        <v>200069565</v>
      </c>
      <c r="B510" s="147">
        <v>788.9</v>
      </c>
    </row>
    <row r="511" spans="1:2" x14ac:dyDescent="0.25">
      <c r="A511" s="281">
        <v>200069581</v>
      </c>
      <c r="B511" s="147">
        <v>802</v>
      </c>
    </row>
    <row r="512" spans="1:2" x14ac:dyDescent="0.25">
      <c r="A512" s="281">
        <v>200069599</v>
      </c>
      <c r="B512" s="147">
        <v>772.6</v>
      </c>
    </row>
    <row r="513" spans="1:2" x14ac:dyDescent="0.25">
      <c r="A513" s="281">
        <v>200069615</v>
      </c>
      <c r="B513" s="147">
        <v>732.7</v>
      </c>
    </row>
    <row r="514" spans="1:2" x14ac:dyDescent="0.25">
      <c r="A514" s="281">
        <v>200069623</v>
      </c>
      <c r="B514" s="147">
        <v>838.7</v>
      </c>
    </row>
    <row r="515" spans="1:2" x14ac:dyDescent="0.25">
      <c r="A515" s="281">
        <v>200069631</v>
      </c>
      <c r="B515" s="147">
        <v>1158.9000000000001</v>
      </c>
    </row>
    <row r="516" spans="1:2" x14ac:dyDescent="0.25">
      <c r="A516" s="281">
        <v>200069649</v>
      </c>
      <c r="B516" s="147">
        <v>1341.1</v>
      </c>
    </row>
    <row r="517" spans="1:2" x14ac:dyDescent="0.25">
      <c r="A517" s="281">
        <v>200069656</v>
      </c>
      <c r="B517" s="147">
        <v>1259.9000000000001</v>
      </c>
    </row>
    <row r="518" spans="1:2" x14ac:dyDescent="0.25">
      <c r="A518" s="281">
        <v>200069664</v>
      </c>
      <c r="B518" s="147">
        <v>992.8</v>
      </c>
    </row>
    <row r="519" spans="1:2" x14ac:dyDescent="0.25">
      <c r="A519" s="281">
        <v>200069672</v>
      </c>
      <c r="B519" s="147">
        <v>907.5</v>
      </c>
    </row>
    <row r="520" spans="1:2" x14ac:dyDescent="0.25">
      <c r="A520" s="281">
        <v>200069698</v>
      </c>
      <c r="B520" s="147">
        <v>913.5</v>
      </c>
    </row>
    <row r="521" spans="1:2" x14ac:dyDescent="0.25">
      <c r="A521" s="281">
        <v>200069722</v>
      </c>
      <c r="B521" s="147">
        <v>780.5</v>
      </c>
    </row>
    <row r="522" spans="1:2" x14ac:dyDescent="0.25">
      <c r="A522" s="281">
        <v>200069730</v>
      </c>
      <c r="B522" s="147">
        <v>923.2</v>
      </c>
    </row>
    <row r="523" spans="1:2" x14ac:dyDescent="0.25">
      <c r="A523" s="281">
        <v>200069748</v>
      </c>
      <c r="B523" s="147">
        <v>1148.0999999999999</v>
      </c>
    </row>
    <row r="524" spans="1:2" x14ac:dyDescent="0.25">
      <c r="A524" s="281">
        <v>200069755</v>
      </c>
      <c r="B524" s="147">
        <v>1242.2</v>
      </c>
    </row>
    <row r="525" spans="1:2" x14ac:dyDescent="0.25">
      <c r="A525" s="281">
        <v>200069763</v>
      </c>
      <c r="B525" s="147">
        <v>782.8</v>
      </c>
    </row>
    <row r="526" spans="1:2" x14ac:dyDescent="0.25">
      <c r="A526" s="281">
        <v>200069821</v>
      </c>
      <c r="B526" s="147">
        <v>1604.7</v>
      </c>
    </row>
    <row r="527" spans="1:2" x14ac:dyDescent="0.25">
      <c r="A527" s="281">
        <v>200069839</v>
      </c>
      <c r="B527" s="147">
        <v>1180.7</v>
      </c>
    </row>
    <row r="528" spans="1:2" x14ac:dyDescent="0.25">
      <c r="A528" s="281">
        <v>200069847</v>
      </c>
      <c r="B528" s="147">
        <v>846.6</v>
      </c>
    </row>
    <row r="529" spans="1:2" x14ac:dyDescent="0.25">
      <c r="A529" s="281">
        <v>200069854</v>
      </c>
      <c r="B529" s="147">
        <v>3678.8</v>
      </c>
    </row>
    <row r="530" spans="1:2" x14ac:dyDescent="0.25">
      <c r="A530" s="281">
        <v>200069912</v>
      </c>
      <c r="B530" s="147">
        <v>676.5</v>
      </c>
    </row>
    <row r="531" spans="1:2" x14ac:dyDescent="0.25">
      <c r="A531" s="281">
        <v>200069953</v>
      </c>
      <c r="B531" s="147">
        <v>981.5</v>
      </c>
    </row>
    <row r="532" spans="1:2" x14ac:dyDescent="0.25">
      <c r="A532" s="281">
        <v>200069961</v>
      </c>
      <c r="B532" s="147">
        <v>1340.8</v>
      </c>
    </row>
    <row r="533" spans="1:2" x14ac:dyDescent="0.25">
      <c r="A533" s="281">
        <v>200069995</v>
      </c>
      <c r="B533" s="147">
        <v>1131.8</v>
      </c>
    </row>
    <row r="534" spans="1:2" x14ac:dyDescent="0.25">
      <c r="A534" s="281">
        <v>200070035</v>
      </c>
      <c r="B534" s="147">
        <v>994.5</v>
      </c>
    </row>
    <row r="535" spans="1:2" x14ac:dyDescent="0.25">
      <c r="A535" s="281">
        <v>200070043</v>
      </c>
      <c r="B535" s="147">
        <v>1091.3</v>
      </c>
    </row>
    <row r="536" spans="1:2" x14ac:dyDescent="0.25">
      <c r="A536" s="281">
        <v>200070068</v>
      </c>
      <c r="B536" s="147">
        <v>892.9</v>
      </c>
    </row>
    <row r="537" spans="1:2" x14ac:dyDescent="0.25">
      <c r="A537" s="281">
        <v>200070092</v>
      </c>
      <c r="B537" s="147">
        <v>1369.7</v>
      </c>
    </row>
    <row r="538" spans="1:2" x14ac:dyDescent="0.25">
      <c r="A538" s="281">
        <v>200070100</v>
      </c>
      <c r="B538" s="147">
        <v>925.9</v>
      </c>
    </row>
    <row r="539" spans="1:2" x14ac:dyDescent="0.25">
      <c r="A539" s="281">
        <v>200070118</v>
      </c>
      <c r="B539" s="147">
        <v>678</v>
      </c>
    </row>
    <row r="540" spans="1:2" x14ac:dyDescent="0.25">
      <c r="A540" s="281">
        <v>200070126</v>
      </c>
      <c r="B540" s="147">
        <v>828.4</v>
      </c>
    </row>
    <row r="541" spans="1:2" x14ac:dyDescent="0.25">
      <c r="A541" s="281">
        <v>200070142</v>
      </c>
      <c r="B541" s="147">
        <v>1119.5</v>
      </c>
    </row>
    <row r="542" spans="1:2" x14ac:dyDescent="0.25">
      <c r="A542" s="281">
        <v>200070159</v>
      </c>
      <c r="B542" s="147">
        <v>871.3</v>
      </c>
    </row>
    <row r="543" spans="1:2" x14ac:dyDescent="0.25">
      <c r="A543" s="281">
        <v>200070167</v>
      </c>
      <c r="B543" s="147">
        <v>747.5</v>
      </c>
    </row>
    <row r="544" spans="1:2" x14ac:dyDescent="0.25">
      <c r="A544" s="281">
        <v>200070183</v>
      </c>
      <c r="B544" s="147">
        <v>930.4</v>
      </c>
    </row>
    <row r="545" spans="1:2" x14ac:dyDescent="0.25">
      <c r="A545" s="281">
        <v>200070233</v>
      </c>
      <c r="B545" s="147">
        <v>465.2</v>
      </c>
    </row>
    <row r="546" spans="1:2" x14ac:dyDescent="0.25">
      <c r="A546" s="281">
        <v>200070282</v>
      </c>
      <c r="B546" s="147">
        <v>1026</v>
      </c>
    </row>
    <row r="547" spans="1:2" x14ac:dyDescent="0.25">
      <c r="A547" s="281">
        <v>200070290</v>
      </c>
      <c r="B547" s="147">
        <v>791.6</v>
      </c>
    </row>
    <row r="548" spans="1:2" x14ac:dyDescent="0.25">
      <c r="A548" s="281">
        <v>200070308</v>
      </c>
      <c r="B548" s="147">
        <v>4285.1000000000004</v>
      </c>
    </row>
    <row r="549" spans="1:2" x14ac:dyDescent="0.25">
      <c r="A549" s="281">
        <v>200070316</v>
      </c>
      <c r="B549" s="147">
        <v>1107</v>
      </c>
    </row>
    <row r="550" spans="1:2" x14ac:dyDescent="0.25">
      <c r="A550" s="281">
        <v>200070324</v>
      </c>
      <c r="B550" s="147">
        <v>1115.7</v>
      </c>
    </row>
    <row r="551" spans="1:2" x14ac:dyDescent="0.25">
      <c r="A551" s="281">
        <v>200070332</v>
      </c>
      <c r="B551" s="147">
        <v>2120.4</v>
      </c>
    </row>
    <row r="552" spans="1:2" x14ac:dyDescent="0.25">
      <c r="A552" s="281">
        <v>200070340</v>
      </c>
      <c r="B552" s="147">
        <v>4650.6000000000004</v>
      </c>
    </row>
    <row r="553" spans="1:2" x14ac:dyDescent="0.25">
      <c r="A553" s="281">
        <v>200070365</v>
      </c>
      <c r="B553" s="147">
        <v>1169.3</v>
      </c>
    </row>
    <row r="554" spans="1:2" x14ac:dyDescent="0.25">
      <c r="A554" s="281">
        <v>200070373</v>
      </c>
      <c r="B554" s="147">
        <v>857.7</v>
      </c>
    </row>
    <row r="555" spans="1:2" x14ac:dyDescent="0.25">
      <c r="A555" s="281">
        <v>200070407</v>
      </c>
      <c r="B555" s="147">
        <v>1144.7</v>
      </c>
    </row>
    <row r="556" spans="1:2" x14ac:dyDescent="0.25">
      <c r="A556" s="281">
        <v>200070431</v>
      </c>
      <c r="B556" s="147">
        <v>995.6</v>
      </c>
    </row>
    <row r="557" spans="1:2" x14ac:dyDescent="0.25">
      <c r="A557" s="281">
        <v>200070449</v>
      </c>
      <c r="B557" s="147">
        <v>755.7</v>
      </c>
    </row>
    <row r="558" spans="1:2" x14ac:dyDescent="0.25">
      <c r="A558" s="281">
        <v>200070464</v>
      </c>
      <c r="B558" s="147">
        <v>2146.8000000000002</v>
      </c>
    </row>
    <row r="559" spans="1:2" x14ac:dyDescent="0.25">
      <c r="A559" s="281">
        <v>200070506</v>
      </c>
      <c r="B559" s="147">
        <v>952.1</v>
      </c>
    </row>
    <row r="560" spans="1:2" x14ac:dyDescent="0.25">
      <c r="A560" s="281">
        <v>200070514</v>
      </c>
      <c r="B560" s="147">
        <v>1027.8</v>
      </c>
    </row>
    <row r="561" spans="1:2" x14ac:dyDescent="0.25">
      <c r="A561" s="281">
        <v>200070530</v>
      </c>
      <c r="B561" s="147">
        <v>1082.7</v>
      </c>
    </row>
    <row r="562" spans="1:2" x14ac:dyDescent="0.25">
      <c r="A562" s="281">
        <v>200070548</v>
      </c>
      <c r="B562" s="147">
        <v>792.4</v>
      </c>
    </row>
    <row r="563" spans="1:2" x14ac:dyDescent="0.25">
      <c r="A563" s="281">
        <v>200070555</v>
      </c>
      <c r="B563" s="147">
        <v>724.5</v>
      </c>
    </row>
    <row r="564" spans="1:2" x14ac:dyDescent="0.25">
      <c r="A564" s="281">
        <v>200070563</v>
      </c>
      <c r="B564" s="147">
        <v>1463.2</v>
      </c>
    </row>
    <row r="565" spans="1:2" x14ac:dyDescent="0.25">
      <c r="A565" s="281">
        <v>200070571</v>
      </c>
      <c r="B565" s="147">
        <v>568.29999999999995</v>
      </c>
    </row>
    <row r="566" spans="1:2" x14ac:dyDescent="0.25">
      <c r="A566" s="281">
        <v>200070589</v>
      </c>
      <c r="B566" s="147">
        <v>775.1</v>
      </c>
    </row>
    <row r="567" spans="1:2" x14ac:dyDescent="0.25">
      <c r="A567" s="281">
        <v>200070647</v>
      </c>
      <c r="B567" s="147">
        <v>1403.3</v>
      </c>
    </row>
    <row r="568" spans="1:2" x14ac:dyDescent="0.25">
      <c r="A568" s="281">
        <v>200070662</v>
      </c>
      <c r="B568" s="147">
        <v>668.1</v>
      </c>
    </row>
    <row r="569" spans="1:2" x14ac:dyDescent="0.25">
      <c r="A569" s="281">
        <v>200070670</v>
      </c>
      <c r="B569" s="147">
        <v>996.9</v>
      </c>
    </row>
    <row r="570" spans="1:2" x14ac:dyDescent="0.25">
      <c r="A570" s="281">
        <v>200070688</v>
      </c>
      <c r="B570" s="147">
        <v>612.5</v>
      </c>
    </row>
    <row r="571" spans="1:2" x14ac:dyDescent="0.25">
      <c r="A571" s="281">
        <v>200070712</v>
      </c>
      <c r="B571" s="147">
        <v>1269.2</v>
      </c>
    </row>
    <row r="572" spans="1:2" x14ac:dyDescent="0.25">
      <c r="A572" s="281">
        <v>200070720</v>
      </c>
      <c r="B572" s="147">
        <v>1500.4</v>
      </c>
    </row>
    <row r="573" spans="1:2" x14ac:dyDescent="0.25">
      <c r="A573" s="281">
        <v>200070738</v>
      </c>
      <c r="B573" s="147">
        <v>676.7</v>
      </c>
    </row>
    <row r="574" spans="1:2" x14ac:dyDescent="0.25">
      <c r="A574" s="281">
        <v>200070746</v>
      </c>
      <c r="B574" s="147">
        <v>1243</v>
      </c>
    </row>
    <row r="575" spans="1:2" x14ac:dyDescent="0.25">
      <c r="A575" s="281">
        <v>200070753</v>
      </c>
      <c r="B575" s="147">
        <v>1777.8</v>
      </c>
    </row>
    <row r="576" spans="1:2" x14ac:dyDescent="0.25">
      <c r="A576" s="281">
        <v>200070761</v>
      </c>
      <c r="B576" s="147">
        <v>1338.2</v>
      </c>
    </row>
    <row r="577" spans="1:2" x14ac:dyDescent="0.25">
      <c r="A577" s="281">
        <v>200070779</v>
      </c>
      <c r="B577" s="147">
        <v>740.4</v>
      </c>
    </row>
    <row r="578" spans="1:2" x14ac:dyDescent="0.25">
      <c r="A578" s="281">
        <v>200070787</v>
      </c>
      <c r="B578" s="147">
        <v>2044.8</v>
      </c>
    </row>
    <row r="579" spans="1:2" x14ac:dyDescent="0.25">
      <c r="A579" s="281">
        <v>200070795</v>
      </c>
      <c r="B579" s="147">
        <v>1065.0999999999999</v>
      </c>
    </row>
    <row r="580" spans="1:2" x14ac:dyDescent="0.25">
      <c r="A580" s="281">
        <v>200070803</v>
      </c>
      <c r="B580" s="147">
        <v>559.20000000000005</v>
      </c>
    </row>
    <row r="581" spans="1:2" x14ac:dyDescent="0.25">
      <c r="A581" s="281">
        <v>200070811</v>
      </c>
      <c r="B581" s="147">
        <v>2083.5</v>
      </c>
    </row>
    <row r="582" spans="1:2" x14ac:dyDescent="0.25">
      <c r="A582" s="281">
        <v>200070829</v>
      </c>
      <c r="B582" s="147">
        <v>815.1</v>
      </c>
    </row>
    <row r="583" spans="1:2" x14ac:dyDescent="0.25">
      <c r="A583" s="281">
        <v>200070845</v>
      </c>
      <c r="B583" s="147">
        <v>1279</v>
      </c>
    </row>
    <row r="584" spans="1:2" x14ac:dyDescent="0.25">
      <c r="A584" s="281">
        <v>200070852</v>
      </c>
      <c r="B584" s="147">
        <v>1008.3</v>
      </c>
    </row>
    <row r="585" spans="1:2" x14ac:dyDescent="0.25">
      <c r="A585" s="281">
        <v>200070894</v>
      </c>
      <c r="B585" s="147">
        <v>1433.2</v>
      </c>
    </row>
    <row r="586" spans="1:2" x14ac:dyDescent="0.25">
      <c r="A586" s="281">
        <v>200070902</v>
      </c>
      <c r="B586" s="147">
        <v>834</v>
      </c>
    </row>
    <row r="587" spans="1:2" x14ac:dyDescent="0.25">
      <c r="A587" s="281">
        <v>200070910</v>
      </c>
      <c r="B587" s="147">
        <v>17646.3</v>
      </c>
    </row>
    <row r="588" spans="1:2" x14ac:dyDescent="0.25">
      <c r="A588" s="281">
        <v>200070928</v>
      </c>
      <c r="B588" s="147">
        <v>903.5</v>
      </c>
    </row>
    <row r="589" spans="1:2" x14ac:dyDescent="0.25">
      <c r="A589" s="281">
        <v>200070936</v>
      </c>
      <c r="B589" s="147">
        <v>980.5</v>
      </c>
    </row>
    <row r="590" spans="1:2" x14ac:dyDescent="0.25">
      <c r="A590" s="281">
        <v>200070944</v>
      </c>
      <c r="B590" s="147">
        <v>1021.5</v>
      </c>
    </row>
    <row r="591" spans="1:2" x14ac:dyDescent="0.25">
      <c r="A591" s="281">
        <v>200070951</v>
      </c>
      <c r="B591" s="147">
        <v>1016.4</v>
      </c>
    </row>
    <row r="592" spans="1:2" x14ac:dyDescent="0.25">
      <c r="A592" s="281">
        <v>200070969</v>
      </c>
      <c r="B592" s="147">
        <v>859.4</v>
      </c>
    </row>
    <row r="593" spans="1:2" x14ac:dyDescent="0.25">
      <c r="A593" s="281">
        <v>200070977</v>
      </c>
      <c r="B593" s="147">
        <v>946.5</v>
      </c>
    </row>
    <row r="594" spans="1:2" x14ac:dyDescent="0.25">
      <c r="A594" s="281">
        <v>200070985</v>
      </c>
      <c r="B594" s="147">
        <v>807.1</v>
      </c>
    </row>
    <row r="595" spans="1:2" x14ac:dyDescent="0.25">
      <c r="A595" s="281">
        <v>200070993</v>
      </c>
      <c r="B595" s="147">
        <v>1528</v>
      </c>
    </row>
    <row r="596" spans="1:2" x14ac:dyDescent="0.25">
      <c r="A596" s="281">
        <v>200071017</v>
      </c>
      <c r="B596" s="147">
        <v>1051.5</v>
      </c>
    </row>
    <row r="597" spans="1:2" x14ac:dyDescent="0.25">
      <c r="A597" s="281">
        <v>200071025</v>
      </c>
      <c r="B597" s="147">
        <v>798.5</v>
      </c>
    </row>
    <row r="598" spans="1:2" x14ac:dyDescent="0.25">
      <c r="A598" s="281">
        <v>200071033</v>
      </c>
      <c r="B598" s="147">
        <v>728.2</v>
      </c>
    </row>
    <row r="599" spans="1:2" x14ac:dyDescent="0.25">
      <c r="A599" s="281">
        <v>200071041</v>
      </c>
      <c r="B599" s="147">
        <v>618.6</v>
      </c>
    </row>
    <row r="600" spans="1:2" x14ac:dyDescent="0.25">
      <c r="A600" s="281">
        <v>200071058</v>
      </c>
      <c r="B600" s="147">
        <v>988.7</v>
      </c>
    </row>
    <row r="601" spans="1:2" x14ac:dyDescent="0.25">
      <c r="A601" s="281">
        <v>200071066</v>
      </c>
      <c r="B601" s="147">
        <v>1127.9000000000001</v>
      </c>
    </row>
    <row r="602" spans="1:2" x14ac:dyDescent="0.25">
      <c r="A602" s="281">
        <v>200071074</v>
      </c>
      <c r="B602" s="147">
        <v>750.7</v>
      </c>
    </row>
    <row r="603" spans="1:2" x14ac:dyDescent="0.25">
      <c r="A603" s="281">
        <v>200071082</v>
      </c>
      <c r="B603" s="147">
        <v>1927.6</v>
      </c>
    </row>
    <row r="604" spans="1:2" x14ac:dyDescent="0.25">
      <c r="A604" s="281">
        <v>200071116</v>
      </c>
      <c r="B604" s="147">
        <v>5386.3</v>
      </c>
    </row>
    <row r="605" spans="1:2" x14ac:dyDescent="0.25">
      <c r="A605" s="281">
        <v>200071140</v>
      </c>
      <c r="B605" s="147">
        <v>3796.5</v>
      </c>
    </row>
    <row r="606" spans="1:2" x14ac:dyDescent="0.25">
      <c r="A606" s="281">
        <v>200071157</v>
      </c>
      <c r="B606" s="147">
        <v>1244.8</v>
      </c>
    </row>
    <row r="607" spans="1:2" x14ac:dyDescent="0.25">
      <c r="A607" s="281">
        <v>200071165</v>
      </c>
      <c r="B607" s="147">
        <v>806.3</v>
      </c>
    </row>
    <row r="608" spans="1:2" x14ac:dyDescent="0.25">
      <c r="A608" s="281">
        <v>200071173</v>
      </c>
      <c r="B608" s="147">
        <v>740.3</v>
      </c>
    </row>
    <row r="609" spans="1:2" x14ac:dyDescent="0.25">
      <c r="A609" s="281">
        <v>200071181</v>
      </c>
      <c r="B609" s="147">
        <v>1047.0999999999999</v>
      </c>
    </row>
    <row r="610" spans="1:2" x14ac:dyDescent="0.25">
      <c r="A610" s="281">
        <v>200071199</v>
      </c>
      <c r="B610" s="147">
        <v>707.1</v>
      </c>
    </row>
    <row r="611" spans="1:2" x14ac:dyDescent="0.25">
      <c r="A611" s="281">
        <v>200071207</v>
      </c>
      <c r="B611" s="147">
        <v>785.5</v>
      </c>
    </row>
    <row r="612" spans="1:2" x14ac:dyDescent="0.25">
      <c r="A612" s="281">
        <v>200071215</v>
      </c>
      <c r="B612" s="147">
        <v>1684.1</v>
      </c>
    </row>
    <row r="613" spans="1:2" x14ac:dyDescent="0.25">
      <c r="A613" s="281">
        <v>200071223</v>
      </c>
      <c r="B613" s="147">
        <v>897.4</v>
      </c>
    </row>
    <row r="614" spans="1:2" x14ac:dyDescent="0.25">
      <c r="A614" s="281">
        <v>200071298</v>
      </c>
      <c r="B614" s="147">
        <v>1098.4000000000001</v>
      </c>
    </row>
    <row r="615" spans="1:2" x14ac:dyDescent="0.25">
      <c r="A615" s="281">
        <v>200071314</v>
      </c>
      <c r="B615" s="147">
        <v>894.8</v>
      </c>
    </row>
    <row r="616" spans="1:2" x14ac:dyDescent="0.25">
      <c r="A616" s="281">
        <v>200071363</v>
      </c>
      <c r="B616" s="147">
        <v>1618.1</v>
      </c>
    </row>
    <row r="617" spans="1:2" x14ac:dyDescent="0.25">
      <c r="A617" s="281">
        <v>200071371</v>
      </c>
      <c r="B617" s="147">
        <v>631.6</v>
      </c>
    </row>
    <row r="618" spans="1:2" x14ac:dyDescent="0.25">
      <c r="A618" s="281">
        <v>200071389</v>
      </c>
      <c r="B618" s="147">
        <v>1078.8</v>
      </c>
    </row>
    <row r="619" spans="1:2" x14ac:dyDescent="0.25">
      <c r="A619" s="281">
        <v>200071405</v>
      </c>
      <c r="B619" s="147">
        <v>1069.4000000000001</v>
      </c>
    </row>
    <row r="620" spans="1:2" x14ac:dyDescent="0.25">
      <c r="A620" s="281">
        <v>200071413</v>
      </c>
      <c r="B620" s="147">
        <v>4629.8</v>
      </c>
    </row>
    <row r="621" spans="1:2" x14ac:dyDescent="0.25">
      <c r="A621" s="281">
        <v>200071454</v>
      </c>
      <c r="B621" s="147">
        <v>3661.3</v>
      </c>
    </row>
    <row r="622" spans="1:2" x14ac:dyDescent="0.25">
      <c r="A622" s="281">
        <v>200071470</v>
      </c>
      <c r="B622" s="147">
        <v>922.1</v>
      </c>
    </row>
    <row r="623" spans="1:2" x14ac:dyDescent="0.25">
      <c r="A623" s="281">
        <v>200071496</v>
      </c>
      <c r="B623" s="147">
        <v>980.7</v>
      </c>
    </row>
    <row r="624" spans="1:2" x14ac:dyDescent="0.25">
      <c r="A624" s="281">
        <v>200071504</v>
      </c>
      <c r="B624" s="147">
        <v>1012.3</v>
      </c>
    </row>
    <row r="625" spans="1:2" x14ac:dyDescent="0.25">
      <c r="A625" s="281">
        <v>200071512</v>
      </c>
      <c r="B625" s="147">
        <v>1015.3</v>
      </c>
    </row>
    <row r="626" spans="1:2" x14ac:dyDescent="0.25">
      <c r="A626" s="281">
        <v>200071520</v>
      </c>
      <c r="B626" s="147">
        <v>656.7</v>
      </c>
    </row>
    <row r="627" spans="1:2" x14ac:dyDescent="0.25">
      <c r="A627" s="281">
        <v>200071538</v>
      </c>
      <c r="B627" s="147">
        <v>649.29999999999995</v>
      </c>
    </row>
    <row r="628" spans="1:2" x14ac:dyDescent="0.25">
      <c r="A628" s="281">
        <v>200071546</v>
      </c>
      <c r="B628" s="147">
        <v>650.1</v>
      </c>
    </row>
    <row r="629" spans="1:2" x14ac:dyDescent="0.25">
      <c r="A629" s="281">
        <v>200071553</v>
      </c>
      <c r="B629" s="147">
        <v>669.3</v>
      </c>
    </row>
    <row r="630" spans="1:2" x14ac:dyDescent="0.25">
      <c r="A630" s="281">
        <v>200071579</v>
      </c>
      <c r="B630" s="147">
        <v>904.5</v>
      </c>
    </row>
    <row r="631" spans="1:2" x14ac:dyDescent="0.25">
      <c r="A631" s="281">
        <v>200071587</v>
      </c>
      <c r="B631" s="147">
        <v>823</v>
      </c>
    </row>
    <row r="632" spans="1:2" x14ac:dyDescent="0.25">
      <c r="A632" s="281">
        <v>200071595</v>
      </c>
      <c r="B632" s="147">
        <v>910.9</v>
      </c>
    </row>
    <row r="633" spans="1:2" x14ac:dyDescent="0.25">
      <c r="A633" s="281">
        <v>200071629</v>
      </c>
      <c r="B633" s="147">
        <v>702</v>
      </c>
    </row>
    <row r="634" spans="1:2" x14ac:dyDescent="0.25">
      <c r="A634" s="281">
        <v>200071645</v>
      </c>
      <c r="B634" s="147">
        <v>757.4</v>
      </c>
    </row>
    <row r="635" spans="1:2" x14ac:dyDescent="0.25">
      <c r="A635" s="281">
        <v>200071652</v>
      </c>
      <c r="B635" s="147">
        <v>793.8</v>
      </c>
    </row>
    <row r="636" spans="1:2" x14ac:dyDescent="0.25">
      <c r="A636" s="281">
        <v>200071678</v>
      </c>
      <c r="B636" s="147">
        <v>1237.2</v>
      </c>
    </row>
    <row r="637" spans="1:2" x14ac:dyDescent="0.25">
      <c r="A637" s="281">
        <v>200071751</v>
      </c>
      <c r="B637" s="147">
        <v>3009.6</v>
      </c>
    </row>
    <row r="638" spans="1:2" x14ac:dyDescent="0.25">
      <c r="A638" s="281">
        <v>200071769</v>
      </c>
      <c r="B638" s="147">
        <v>876.1</v>
      </c>
    </row>
    <row r="639" spans="1:2" x14ac:dyDescent="0.25">
      <c r="A639" s="281">
        <v>200071777</v>
      </c>
      <c r="B639" s="147">
        <v>664.6</v>
      </c>
    </row>
    <row r="640" spans="1:2" x14ac:dyDescent="0.25">
      <c r="A640" s="281">
        <v>200071785</v>
      </c>
      <c r="B640" s="147">
        <v>1739.4</v>
      </c>
    </row>
    <row r="641" spans="1:2" x14ac:dyDescent="0.25">
      <c r="A641" s="281">
        <v>200071819</v>
      </c>
      <c r="B641" s="147">
        <v>1087.0999999999999</v>
      </c>
    </row>
    <row r="642" spans="1:2" x14ac:dyDescent="0.25">
      <c r="A642" s="281">
        <v>200071827</v>
      </c>
      <c r="B642" s="147">
        <v>2957.9</v>
      </c>
    </row>
    <row r="643" spans="1:2" x14ac:dyDescent="0.25">
      <c r="A643" s="281">
        <v>200071843</v>
      </c>
      <c r="B643" s="147">
        <v>1046.0999999999999</v>
      </c>
    </row>
    <row r="644" spans="1:2" x14ac:dyDescent="0.25">
      <c r="A644" s="281">
        <v>200071850</v>
      </c>
      <c r="B644" s="147">
        <v>884.4</v>
      </c>
    </row>
    <row r="645" spans="1:2" x14ac:dyDescent="0.25">
      <c r="A645" s="281">
        <v>200071868</v>
      </c>
      <c r="B645" s="147">
        <v>617.70000000000005</v>
      </c>
    </row>
    <row r="646" spans="1:2" x14ac:dyDescent="0.25">
      <c r="A646" s="281">
        <v>200071876</v>
      </c>
      <c r="B646" s="147">
        <v>991.1</v>
      </c>
    </row>
    <row r="647" spans="1:2" x14ac:dyDescent="0.25">
      <c r="A647" s="281">
        <v>200071884</v>
      </c>
      <c r="B647" s="147">
        <v>1048.8</v>
      </c>
    </row>
    <row r="648" spans="1:2" x14ac:dyDescent="0.25">
      <c r="A648" s="281">
        <v>200071892</v>
      </c>
      <c r="B648" s="147">
        <v>2154.9</v>
      </c>
    </row>
    <row r="649" spans="1:2" x14ac:dyDescent="0.25">
      <c r="A649" s="281">
        <v>200071900</v>
      </c>
      <c r="B649" s="147">
        <v>1017</v>
      </c>
    </row>
    <row r="650" spans="1:2" x14ac:dyDescent="0.25">
      <c r="A650" s="281">
        <v>200071918</v>
      </c>
      <c r="B650" s="147">
        <v>502.3</v>
      </c>
    </row>
    <row r="651" spans="1:2" x14ac:dyDescent="0.25">
      <c r="A651" s="281">
        <v>200071926</v>
      </c>
      <c r="B651" s="147">
        <v>1267.4000000000001</v>
      </c>
    </row>
    <row r="652" spans="1:2" x14ac:dyDescent="0.25">
      <c r="A652" s="281">
        <v>200071934</v>
      </c>
      <c r="B652" s="147">
        <v>1188</v>
      </c>
    </row>
    <row r="653" spans="1:2" x14ac:dyDescent="0.25">
      <c r="A653" s="281">
        <v>200071942</v>
      </c>
      <c r="B653" s="147">
        <v>884.1</v>
      </c>
    </row>
    <row r="654" spans="1:2" x14ac:dyDescent="0.25">
      <c r="A654" s="281">
        <v>200071967</v>
      </c>
      <c r="B654" s="147">
        <v>1154.9000000000001</v>
      </c>
    </row>
    <row r="655" spans="1:2" x14ac:dyDescent="0.25">
      <c r="A655" s="281">
        <v>200071983</v>
      </c>
      <c r="B655" s="147">
        <v>993</v>
      </c>
    </row>
    <row r="656" spans="1:2" x14ac:dyDescent="0.25">
      <c r="A656" s="281">
        <v>200071991</v>
      </c>
      <c r="B656" s="147">
        <v>1030.5</v>
      </c>
    </row>
    <row r="657" spans="1:2" x14ac:dyDescent="0.25">
      <c r="A657" s="281">
        <v>200072007</v>
      </c>
      <c r="B657" s="147">
        <v>1813.5</v>
      </c>
    </row>
    <row r="658" spans="1:2" x14ac:dyDescent="0.25">
      <c r="A658" s="281">
        <v>200072015</v>
      </c>
      <c r="B658" s="147">
        <v>1017.4</v>
      </c>
    </row>
    <row r="659" spans="1:2" x14ac:dyDescent="0.25">
      <c r="A659" s="281">
        <v>200072023</v>
      </c>
      <c r="B659" s="147">
        <v>912</v>
      </c>
    </row>
    <row r="660" spans="1:2" x14ac:dyDescent="0.25">
      <c r="A660" s="281">
        <v>200072031</v>
      </c>
      <c r="B660" s="147">
        <v>1348.7</v>
      </c>
    </row>
    <row r="661" spans="1:2" x14ac:dyDescent="0.25">
      <c r="A661" s="281">
        <v>200072049</v>
      </c>
      <c r="B661" s="147">
        <v>1070.0999999999999</v>
      </c>
    </row>
    <row r="662" spans="1:2" x14ac:dyDescent="0.25">
      <c r="A662" s="281">
        <v>200072056</v>
      </c>
      <c r="B662" s="147">
        <v>796.9</v>
      </c>
    </row>
    <row r="663" spans="1:2" x14ac:dyDescent="0.25">
      <c r="A663" s="281">
        <v>200072064</v>
      </c>
      <c r="B663" s="147">
        <v>779.5</v>
      </c>
    </row>
    <row r="664" spans="1:2" x14ac:dyDescent="0.25">
      <c r="A664" s="281">
        <v>200072072</v>
      </c>
      <c r="B664" s="147">
        <v>1308.3</v>
      </c>
    </row>
    <row r="665" spans="1:2" x14ac:dyDescent="0.25">
      <c r="A665" s="281">
        <v>200072080</v>
      </c>
      <c r="B665" s="147">
        <v>1367.6</v>
      </c>
    </row>
    <row r="666" spans="1:2" x14ac:dyDescent="0.25">
      <c r="A666" s="281">
        <v>200072098</v>
      </c>
      <c r="B666" s="147">
        <v>825</v>
      </c>
    </row>
    <row r="667" spans="1:2" x14ac:dyDescent="0.25">
      <c r="A667" s="281">
        <v>200072106</v>
      </c>
      <c r="B667" s="147">
        <v>772.8</v>
      </c>
    </row>
    <row r="668" spans="1:2" x14ac:dyDescent="0.25">
      <c r="A668" s="281">
        <v>200072130</v>
      </c>
      <c r="B668" s="147">
        <v>1696.9</v>
      </c>
    </row>
    <row r="669" spans="1:2" x14ac:dyDescent="0.25">
      <c r="A669" s="281">
        <v>200072304</v>
      </c>
      <c r="B669" s="147">
        <v>2157.8000000000002</v>
      </c>
    </row>
    <row r="670" spans="1:2" x14ac:dyDescent="0.25">
      <c r="A670" s="281">
        <v>200072312</v>
      </c>
      <c r="B670" s="147">
        <v>1129.9000000000001</v>
      </c>
    </row>
    <row r="671" spans="1:2" x14ac:dyDescent="0.25">
      <c r="A671" s="281">
        <v>200072320</v>
      </c>
      <c r="B671" s="147">
        <v>1097</v>
      </c>
    </row>
    <row r="672" spans="1:2" x14ac:dyDescent="0.25">
      <c r="A672" s="281">
        <v>200072346</v>
      </c>
      <c r="B672" s="147">
        <v>1508</v>
      </c>
    </row>
    <row r="673" spans="1:2" x14ac:dyDescent="0.25">
      <c r="A673" s="281">
        <v>200072452</v>
      </c>
      <c r="B673" s="147">
        <v>1013.2</v>
      </c>
    </row>
    <row r="674" spans="1:2" x14ac:dyDescent="0.25">
      <c r="A674" s="281">
        <v>200072460</v>
      </c>
      <c r="B674" s="147">
        <v>1454.6</v>
      </c>
    </row>
    <row r="675" spans="1:2" x14ac:dyDescent="0.25">
      <c r="A675" s="281">
        <v>200072478</v>
      </c>
      <c r="B675" s="147">
        <v>792.9</v>
      </c>
    </row>
    <row r="676" spans="1:2" x14ac:dyDescent="0.25">
      <c r="A676" s="281">
        <v>200072544</v>
      </c>
      <c r="B676" s="147">
        <v>801.3</v>
      </c>
    </row>
    <row r="677" spans="1:2" x14ac:dyDescent="0.25">
      <c r="A677" s="281">
        <v>200072635</v>
      </c>
      <c r="B677" s="147">
        <v>2415</v>
      </c>
    </row>
    <row r="678" spans="1:2" x14ac:dyDescent="0.25">
      <c r="A678" s="281">
        <v>200072643</v>
      </c>
      <c r="B678" s="147">
        <v>1740.2</v>
      </c>
    </row>
    <row r="679" spans="1:2" x14ac:dyDescent="0.25">
      <c r="A679" s="281">
        <v>200072650</v>
      </c>
      <c r="B679" s="147">
        <v>1819.1</v>
      </c>
    </row>
    <row r="680" spans="1:2" x14ac:dyDescent="0.25">
      <c r="A680" s="281">
        <v>200072668</v>
      </c>
      <c r="B680" s="147">
        <v>713.9</v>
      </c>
    </row>
    <row r="681" spans="1:2" x14ac:dyDescent="0.25">
      <c r="A681" s="281">
        <v>200072676</v>
      </c>
      <c r="B681" s="147">
        <v>757.8</v>
      </c>
    </row>
    <row r="682" spans="1:2" x14ac:dyDescent="0.25">
      <c r="A682" s="281">
        <v>200072684</v>
      </c>
      <c r="B682" s="147">
        <v>765.8</v>
      </c>
    </row>
    <row r="683" spans="1:2" x14ac:dyDescent="0.25">
      <c r="A683" s="281">
        <v>200072692</v>
      </c>
      <c r="B683" s="147">
        <v>968.2</v>
      </c>
    </row>
    <row r="684" spans="1:2" x14ac:dyDescent="0.25">
      <c r="A684" s="281">
        <v>200072700</v>
      </c>
      <c r="B684" s="147">
        <v>657.3</v>
      </c>
    </row>
    <row r="685" spans="1:2" x14ac:dyDescent="0.25">
      <c r="A685" s="281">
        <v>200072718</v>
      </c>
      <c r="B685" s="147">
        <v>746</v>
      </c>
    </row>
    <row r="686" spans="1:2" x14ac:dyDescent="0.25">
      <c r="A686" s="281">
        <v>200072726</v>
      </c>
      <c r="B686" s="147">
        <v>834.4</v>
      </c>
    </row>
    <row r="687" spans="1:2" x14ac:dyDescent="0.25">
      <c r="A687" s="281">
        <v>200072734</v>
      </c>
      <c r="B687" s="147">
        <v>846.6</v>
      </c>
    </row>
    <row r="688" spans="1:2" x14ac:dyDescent="0.25">
      <c r="A688" s="281">
        <v>200072825</v>
      </c>
      <c r="B688" s="147">
        <v>767.7</v>
      </c>
    </row>
    <row r="689" spans="1:2" x14ac:dyDescent="0.25">
      <c r="A689" s="281">
        <v>200072874</v>
      </c>
      <c r="B689" s="147">
        <v>770</v>
      </c>
    </row>
    <row r="690" spans="1:2" x14ac:dyDescent="0.25">
      <c r="A690" s="281">
        <v>200072882</v>
      </c>
      <c r="B690" s="147">
        <v>795</v>
      </c>
    </row>
    <row r="691" spans="1:2" x14ac:dyDescent="0.25">
      <c r="A691" s="281">
        <v>200072981</v>
      </c>
      <c r="B691" s="147">
        <v>822</v>
      </c>
    </row>
    <row r="692" spans="1:2" x14ac:dyDescent="0.25">
      <c r="A692" s="281">
        <v>200072999</v>
      </c>
      <c r="B692" s="147">
        <v>1353.6</v>
      </c>
    </row>
    <row r="693" spans="1:2" x14ac:dyDescent="0.25">
      <c r="A693" s="281">
        <v>200073013</v>
      </c>
      <c r="B693" s="147">
        <v>932</v>
      </c>
    </row>
    <row r="694" spans="1:2" x14ac:dyDescent="0.25">
      <c r="A694" s="281">
        <v>200073096</v>
      </c>
      <c r="B694" s="147">
        <v>801.4</v>
      </c>
    </row>
    <row r="695" spans="1:2" x14ac:dyDescent="0.25">
      <c r="A695" s="281">
        <v>200073104</v>
      </c>
      <c r="B695" s="147">
        <v>1465</v>
      </c>
    </row>
    <row r="696" spans="1:2" x14ac:dyDescent="0.25">
      <c r="A696" s="281">
        <v>200073112</v>
      </c>
      <c r="B696" s="147">
        <v>871.8</v>
      </c>
    </row>
    <row r="697" spans="1:2" x14ac:dyDescent="0.25">
      <c r="A697" s="281">
        <v>200073120</v>
      </c>
      <c r="B697" s="147">
        <v>1049.2</v>
      </c>
    </row>
    <row r="698" spans="1:2" x14ac:dyDescent="0.25">
      <c r="A698" s="281">
        <v>200073138</v>
      </c>
      <c r="B698" s="147">
        <v>922.4</v>
      </c>
    </row>
    <row r="699" spans="1:2" x14ac:dyDescent="0.25">
      <c r="A699" s="281">
        <v>200073146</v>
      </c>
      <c r="B699" s="147">
        <v>1090.5</v>
      </c>
    </row>
    <row r="700" spans="1:2" x14ac:dyDescent="0.25">
      <c r="A700" s="281">
        <v>200073161</v>
      </c>
      <c r="B700" s="147">
        <v>889.8</v>
      </c>
    </row>
    <row r="701" spans="1:2" x14ac:dyDescent="0.25">
      <c r="A701" s="281">
        <v>200073237</v>
      </c>
      <c r="B701" s="147">
        <v>705.9</v>
      </c>
    </row>
    <row r="702" spans="1:2" x14ac:dyDescent="0.25">
      <c r="A702" s="281">
        <v>200073245</v>
      </c>
      <c r="B702" s="147">
        <v>1306.3</v>
      </c>
    </row>
    <row r="703" spans="1:2" x14ac:dyDescent="0.25">
      <c r="A703" s="281">
        <v>200073252</v>
      </c>
      <c r="B703" s="147">
        <v>826.7</v>
      </c>
    </row>
    <row r="704" spans="1:2" x14ac:dyDescent="0.25">
      <c r="A704" s="281">
        <v>200073260</v>
      </c>
      <c r="B704" s="147">
        <v>978.2</v>
      </c>
    </row>
    <row r="705" spans="1:2" x14ac:dyDescent="0.25">
      <c r="A705" s="281">
        <v>200073344</v>
      </c>
      <c r="B705" s="147">
        <v>1249.2</v>
      </c>
    </row>
    <row r="706" spans="1:2" x14ac:dyDescent="0.25">
      <c r="A706" s="281">
        <v>200073393</v>
      </c>
      <c r="B706" s="147">
        <v>982.5</v>
      </c>
    </row>
    <row r="707" spans="1:2" x14ac:dyDescent="0.25">
      <c r="A707" s="281">
        <v>200073401</v>
      </c>
      <c r="B707" s="147">
        <v>868.3</v>
      </c>
    </row>
    <row r="708" spans="1:2" x14ac:dyDescent="0.25">
      <c r="A708" s="281">
        <v>200073419</v>
      </c>
      <c r="B708" s="147">
        <v>2505.9</v>
      </c>
    </row>
    <row r="709" spans="1:2" x14ac:dyDescent="0.25">
      <c r="A709" s="281">
        <v>200073427</v>
      </c>
      <c r="B709" s="147">
        <v>712.9</v>
      </c>
    </row>
    <row r="710" spans="1:2" x14ac:dyDescent="0.25">
      <c r="A710" s="281">
        <v>200077014</v>
      </c>
      <c r="B710" s="147">
        <v>1320.4</v>
      </c>
    </row>
    <row r="711" spans="1:2" x14ac:dyDescent="0.25">
      <c r="A711" s="281">
        <v>200083392</v>
      </c>
      <c r="B711" s="147">
        <v>2355.1999999999998</v>
      </c>
    </row>
    <row r="712" spans="1:2" x14ac:dyDescent="0.25">
      <c r="A712" s="281">
        <v>200084952</v>
      </c>
      <c r="B712" s="147">
        <v>2176.6</v>
      </c>
    </row>
    <row r="713" spans="1:2" x14ac:dyDescent="0.25">
      <c r="A713" s="281">
        <v>200085728</v>
      </c>
      <c r="B713" s="147">
        <v>1304.7</v>
      </c>
    </row>
    <row r="714" spans="1:2" x14ac:dyDescent="0.25">
      <c r="A714" s="281">
        <v>200085751</v>
      </c>
      <c r="B714" s="147">
        <v>1012.7</v>
      </c>
    </row>
    <row r="715" spans="1:2" x14ac:dyDescent="0.25">
      <c r="A715" s="281">
        <v>200089456</v>
      </c>
      <c r="B715" s="147">
        <v>1251.2</v>
      </c>
    </row>
    <row r="716" spans="1:2" x14ac:dyDescent="0.25">
      <c r="A716" s="281">
        <v>200090504</v>
      </c>
      <c r="B716" s="147">
        <v>893.2</v>
      </c>
    </row>
    <row r="717" spans="1:2" x14ac:dyDescent="0.25">
      <c r="A717" s="281">
        <v>200090561</v>
      </c>
      <c r="B717" s="147">
        <v>1911.7</v>
      </c>
    </row>
    <row r="718" spans="1:2" x14ac:dyDescent="0.25">
      <c r="A718" s="281">
        <v>200090579</v>
      </c>
      <c r="B718" s="147">
        <v>945.5</v>
      </c>
    </row>
    <row r="719" spans="1:2" x14ac:dyDescent="0.25">
      <c r="A719" s="281">
        <v>200090751</v>
      </c>
      <c r="B719" s="147">
        <v>2180.5</v>
      </c>
    </row>
    <row r="720" spans="1:2" x14ac:dyDescent="0.25">
      <c r="A720" s="281">
        <v>240100610</v>
      </c>
      <c r="B720" s="147">
        <v>714.5</v>
      </c>
    </row>
    <row r="721" spans="1:2" x14ac:dyDescent="0.25">
      <c r="A721" s="281">
        <v>240100750</v>
      </c>
      <c r="B721" s="147">
        <v>926.9</v>
      </c>
    </row>
    <row r="722" spans="1:2" x14ac:dyDescent="0.25">
      <c r="A722" s="281">
        <v>240100800</v>
      </c>
      <c r="B722" s="147">
        <v>887.8</v>
      </c>
    </row>
    <row r="723" spans="1:2" x14ac:dyDescent="0.25">
      <c r="A723" s="281">
        <v>240100883</v>
      </c>
      <c r="B723" s="147">
        <v>1172.2</v>
      </c>
    </row>
    <row r="724" spans="1:2" x14ac:dyDescent="0.25">
      <c r="A724" s="281">
        <v>240100891</v>
      </c>
      <c r="B724" s="147">
        <v>1509.3</v>
      </c>
    </row>
    <row r="725" spans="1:2" x14ac:dyDescent="0.25">
      <c r="A725" s="281">
        <v>240200444</v>
      </c>
      <c r="B725" s="147">
        <v>988.5</v>
      </c>
    </row>
    <row r="726" spans="1:2" x14ac:dyDescent="0.25">
      <c r="A726" s="281">
        <v>240200469</v>
      </c>
      <c r="B726" s="147">
        <v>1380.5</v>
      </c>
    </row>
    <row r="727" spans="1:2" x14ac:dyDescent="0.25">
      <c r="A727" s="281">
        <v>240200477</v>
      </c>
      <c r="B727" s="147">
        <v>1387.9</v>
      </c>
    </row>
    <row r="728" spans="1:2" x14ac:dyDescent="0.25">
      <c r="A728" s="281">
        <v>240200493</v>
      </c>
      <c r="B728" s="147">
        <v>897.1</v>
      </c>
    </row>
    <row r="729" spans="1:2" x14ac:dyDescent="0.25">
      <c r="A729" s="281">
        <v>240200501</v>
      </c>
      <c r="B729" s="147">
        <v>673.7</v>
      </c>
    </row>
    <row r="730" spans="1:2" x14ac:dyDescent="0.25">
      <c r="A730" s="281">
        <v>240200519</v>
      </c>
      <c r="B730" s="147">
        <v>635.4</v>
      </c>
    </row>
    <row r="731" spans="1:2" x14ac:dyDescent="0.25">
      <c r="A731" s="281">
        <v>240200576</v>
      </c>
      <c r="B731" s="147">
        <v>708.6</v>
      </c>
    </row>
    <row r="732" spans="1:2" x14ac:dyDescent="0.25">
      <c r="A732" s="281">
        <v>240200584</v>
      </c>
      <c r="B732" s="147">
        <v>819.5</v>
      </c>
    </row>
    <row r="733" spans="1:2" x14ac:dyDescent="0.25">
      <c r="A733" s="281">
        <v>240200592</v>
      </c>
      <c r="B733" s="147">
        <v>690.9</v>
      </c>
    </row>
    <row r="734" spans="1:2" x14ac:dyDescent="0.25">
      <c r="A734" s="281">
        <v>240200600</v>
      </c>
      <c r="B734" s="147">
        <v>1209.8</v>
      </c>
    </row>
    <row r="735" spans="1:2" x14ac:dyDescent="0.25">
      <c r="A735" s="281">
        <v>240200634</v>
      </c>
      <c r="B735" s="147">
        <v>1131.0999999999999</v>
      </c>
    </row>
    <row r="736" spans="1:2" x14ac:dyDescent="0.25">
      <c r="A736" s="281">
        <v>240300491</v>
      </c>
      <c r="B736" s="147">
        <v>842.8</v>
      </c>
    </row>
    <row r="737" spans="1:2" x14ac:dyDescent="0.25">
      <c r="A737" s="281">
        <v>240300558</v>
      </c>
      <c r="B737" s="147">
        <v>732.3</v>
      </c>
    </row>
    <row r="738" spans="1:2" x14ac:dyDescent="0.25">
      <c r="A738" s="281">
        <v>240300566</v>
      </c>
      <c r="B738" s="147">
        <v>911</v>
      </c>
    </row>
    <row r="739" spans="1:2" x14ac:dyDescent="0.25">
      <c r="A739" s="281">
        <v>240300657</v>
      </c>
      <c r="B739" s="147">
        <v>966.1</v>
      </c>
    </row>
    <row r="740" spans="1:2" x14ac:dyDescent="0.25">
      <c r="A740" s="281">
        <v>240400440</v>
      </c>
      <c r="B740" s="147">
        <v>1161.7</v>
      </c>
    </row>
    <row r="741" spans="1:2" x14ac:dyDescent="0.25">
      <c r="A741" s="281">
        <v>240500439</v>
      </c>
      <c r="B741" s="147">
        <v>2193.6</v>
      </c>
    </row>
    <row r="742" spans="1:2" x14ac:dyDescent="0.25">
      <c r="A742" s="281">
        <v>240500462</v>
      </c>
      <c r="B742" s="147">
        <v>1704.2</v>
      </c>
    </row>
    <row r="743" spans="1:2" x14ac:dyDescent="0.25">
      <c r="A743" s="281">
        <v>240600551</v>
      </c>
      <c r="B743" s="147">
        <v>1486.4</v>
      </c>
    </row>
    <row r="744" spans="1:2" x14ac:dyDescent="0.25">
      <c r="A744" s="281">
        <v>240600585</v>
      </c>
      <c r="B744" s="147">
        <v>2395.4</v>
      </c>
    </row>
    <row r="745" spans="1:2" x14ac:dyDescent="0.25">
      <c r="A745" s="281">
        <v>240600593</v>
      </c>
      <c r="B745" s="147">
        <v>1318.9</v>
      </c>
    </row>
    <row r="746" spans="1:2" x14ac:dyDescent="0.25">
      <c r="A746" s="281">
        <v>240700302</v>
      </c>
      <c r="B746" s="147">
        <v>981.9</v>
      </c>
    </row>
    <row r="747" spans="1:2" x14ac:dyDescent="0.25">
      <c r="A747" s="281">
        <v>240700617</v>
      </c>
      <c r="B747" s="147">
        <v>868.5</v>
      </c>
    </row>
    <row r="748" spans="1:2" x14ac:dyDescent="0.25">
      <c r="A748" s="281">
        <v>240700716</v>
      </c>
      <c r="B748" s="147">
        <v>476.3</v>
      </c>
    </row>
    <row r="749" spans="1:2" x14ac:dyDescent="0.25">
      <c r="A749" s="281">
        <v>240700815</v>
      </c>
      <c r="B749" s="147">
        <v>1111.4000000000001</v>
      </c>
    </row>
    <row r="750" spans="1:2" x14ac:dyDescent="0.25">
      <c r="A750" s="281">
        <v>240700864</v>
      </c>
      <c r="B750" s="147">
        <v>944</v>
      </c>
    </row>
    <row r="751" spans="1:2" x14ac:dyDescent="0.25">
      <c r="A751" s="281">
        <v>240800821</v>
      </c>
      <c r="B751" s="147">
        <v>1337.4</v>
      </c>
    </row>
    <row r="752" spans="1:2" x14ac:dyDescent="0.25">
      <c r="A752" s="281">
        <v>240800847</v>
      </c>
      <c r="B752" s="147">
        <v>780.1</v>
      </c>
    </row>
    <row r="753" spans="1:2" x14ac:dyDescent="0.25">
      <c r="A753" s="281">
        <v>240800862</v>
      </c>
      <c r="B753" s="147">
        <v>746.4</v>
      </c>
    </row>
    <row r="754" spans="1:2" x14ac:dyDescent="0.25">
      <c r="A754" s="281">
        <v>240800920</v>
      </c>
      <c r="B754" s="147">
        <v>804.8</v>
      </c>
    </row>
    <row r="755" spans="1:2" x14ac:dyDescent="0.25">
      <c r="A755" s="281">
        <v>240900431</v>
      </c>
      <c r="B755" s="147">
        <v>1302.8</v>
      </c>
    </row>
    <row r="756" spans="1:2" x14ac:dyDescent="0.25">
      <c r="A756" s="281">
        <v>240900464</v>
      </c>
      <c r="B756" s="147">
        <v>1181.4000000000001</v>
      </c>
    </row>
    <row r="757" spans="1:2" x14ac:dyDescent="0.25">
      <c r="A757" s="281">
        <v>241000223</v>
      </c>
      <c r="B757" s="147">
        <v>948.2</v>
      </c>
    </row>
    <row r="758" spans="1:2" x14ac:dyDescent="0.25">
      <c r="A758" s="281">
        <v>241000405</v>
      </c>
      <c r="B758" s="147">
        <v>1767.4</v>
      </c>
    </row>
    <row r="759" spans="1:2" x14ac:dyDescent="0.25">
      <c r="A759" s="281">
        <v>241000447</v>
      </c>
      <c r="B759" s="147">
        <v>743.9</v>
      </c>
    </row>
    <row r="760" spans="1:2" x14ac:dyDescent="0.25">
      <c r="A760" s="281">
        <v>241000488</v>
      </c>
      <c r="B760" s="147">
        <v>754.5</v>
      </c>
    </row>
    <row r="761" spans="1:2" x14ac:dyDescent="0.25">
      <c r="A761" s="281">
        <v>241100593</v>
      </c>
      <c r="B761" s="147">
        <v>1717.5</v>
      </c>
    </row>
    <row r="762" spans="1:2" x14ac:dyDescent="0.25">
      <c r="A762" s="281">
        <v>241200187</v>
      </c>
      <c r="B762" s="147">
        <v>3986.8</v>
      </c>
    </row>
    <row r="763" spans="1:2" x14ac:dyDescent="0.25">
      <c r="A763" s="281">
        <v>241200542</v>
      </c>
      <c r="B763" s="147">
        <v>1108.7</v>
      </c>
    </row>
    <row r="764" spans="1:2" x14ac:dyDescent="0.25">
      <c r="A764" s="281">
        <v>241200567</v>
      </c>
      <c r="B764" s="147">
        <v>1473.1</v>
      </c>
    </row>
    <row r="765" spans="1:2" x14ac:dyDescent="0.25">
      <c r="A765" s="281">
        <v>241200625</v>
      </c>
      <c r="B765" s="147">
        <v>687.8</v>
      </c>
    </row>
    <row r="766" spans="1:2" x14ac:dyDescent="0.25">
      <c r="A766" s="281">
        <v>241200641</v>
      </c>
      <c r="B766" s="147">
        <v>651.1</v>
      </c>
    </row>
    <row r="767" spans="1:2" x14ac:dyDescent="0.25">
      <c r="A767" s="281">
        <v>241200658</v>
      </c>
      <c r="B767" s="147">
        <v>890</v>
      </c>
    </row>
    <row r="768" spans="1:2" x14ac:dyDescent="0.25">
      <c r="A768" s="281">
        <v>241200674</v>
      </c>
      <c r="B768" s="147">
        <v>1070</v>
      </c>
    </row>
    <row r="769" spans="1:2" x14ac:dyDescent="0.25">
      <c r="A769" s="281">
        <v>241200765</v>
      </c>
      <c r="B769" s="147">
        <v>743.7</v>
      </c>
    </row>
    <row r="770" spans="1:2" x14ac:dyDescent="0.25">
      <c r="A770" s="281">
        <v>241200807</v>
      </c>
      <c r="B770" s="147">
        <v>589.79999999999995</v>
      </c>
    </row>
    <row r="771" spans="1:2" x14ac:dyDescent="0.25">
      <c r="A771" s="281">
        <v>241200906</v>
      </c>
      <c r="B771" s="147">
        <v>842.4</v>
      </c>
    </row>
    <row r="772" spans="1:2" x14ac:dyDescent="0.25">
      <c r="A772" s="281">
        <v>241200914</v>
      </c>
      <c r="B772" s="147">
        <v>806.7</v>
      </c>
    </row>
    <row r="773" spans="1:2" x14ac:dyDescent="0.25">
      <c r="A773" s="281">
        <v>241300375</v>
      </c>
      <c r="B773" s="147">
        <v>1327.1</v>
      </c>
    </row>
    <row r="774" spans="1:2" x14ac:dyDescent="0.25">
      <c r="A774" s="281">
        <v>241300417</v>
      </c>
      <c r="B774" s="147">
        <v>2165.1</v>
      </c>
    </row>
    <row r="775" spans="1:2" x14ac:dyDescent="0.25">
      <c r="A775" s="281">
        <v>241400415</v>
      </c>
      <c r="B775" s="147">
        <v>2333.6999999999998</v>
      </c>
    </row>
    <row r="776" spans="1:2" x14ac:dyDescent="0.25">
      <c r="A776" s="281">
        <v>241400514</v>
      </c>
      <c r="B776" s="147">
        <v>893</v>
      </c>
    </row>
    <row r="777" spans="1:2" x14ac:dyDescent="0.25">
      <c r="A777" s="281">
        <v>241400555</v>
      </c>
      <c r="B777" s="147">
        <v>1357.2</v>
      </c>
    </row>
    <row r="778" spans="1:2" x14ac:dyDescent="0.25">
      <c r="A778" s="281">
        <v>241400860</v>
      </c>
      <c r="B778" s="147">
        <v>811.1</v>
      </c>
    </row>
    <row r="779" spans="1:2" x14ac:dyDescent="0.25">
      <c r="A779" s="281">
        <v>241400878</v>
      </c>
      <c r="B779" s="147">
        <v>673.8</v>
      </c>
    </row>
    <row r="780" spans="1:2" x14ac:dyDescent="0.25">
      <c r="A780" s="281">
        <v>241500230</v>
      </c>
      <c r="B780" s="147">
        <v>3411</v>
      </c>
    </row>
    <row r="781" spans="1:2" x14ac:dyDescent="0.25">
      <c r="A781" s="281">
        <v>241500255</v>
      </c>
      <c r="B781" s="147">
        <v>827.9</v>
      </c>
    </row>
    <row r="782" spans="1:2" x14ac:dyDescent="0.25">
      <c r="A782" s="281">
        <v>241500271</v>
      </c>
      <c r="B782" s="147">
        <v>1093.5</v>
      </c>
    </row>
    <row r="783" spans="1:2" x14ac:dyDescent="0.25">
      <c r="A783" s="281">
        <v>241501055</v>
      </c>
      <c r="B783" s="147">
        <v>1083.0999999999999</v>
      </c>
    </row>
    <row r="784" spans="1:2" x14ac:dyDescent="0.25">
      <c r="A784" s="281">
        <v>241501089</v>
      </c>
      <c r="B784" s="147">
        <v>1090</v>
      </c>
    </row>
    <row r="785" spans="1:2" x14ac:dyDescent="0.25">
      <c r="A785" s="281">
        <v>241501139</v>
      </c>
      <c r="B785" s="147">
        <v>911.5</v>
      </c>
    </row>
    <row r="786" spans="1:2" x14ac:dyDescent="0.25">
      <c r="A786" s="281">
        <v>241600303</v>
      </c>
      <c r="B786" s="147">
        <v>645.9</v>
      </c>
    </row>
    <row r="787" spans="1:2" x14ac:dyDescent="0.25">
      <c r="A787" s="281">
        <v>241700434</v>
      </c>
      <c r="B787" s="147">
        <v>3127.1</v>
      </c>
    </row>
    <row r="788" spans="1:2" x14ac:dyDescent="0.25">
      <c r="A788" s="281">
        <v>241700459</v>
      </c>
      <c r="B788" s="147">
        <v>1229.7</v>
      </c>
    </row>
    <row r="789" spans="1:2" x14ac:dyDescent="0.25">
      <c r="A789" s="281">
        <v>241700517</v>
      </c>
      <c r="B789" s="147">
        <v>612.1</v>
      </c>
    </row>
    <row r="790" spans="1:2" x14ac:dyDescent="0.25">
      <c r="A790" s="281">
        <v>241700624</v>
      </c>
      <c r="B790" s="147">
        <v>1374</v>
      </c>
    </row>
    <row r="791" spans="1:2" x14ac:dyDescent="0.25">
      <c r="A791" s="281">
        <v>241700632</v>
      </c>
      <c r="B791" s="147">
        <v>640.1</v>
      </c>
    </row>
    <row r="792" spans="1:2" x14ac:dyDescent="0.25">
      <c r="A792" s="281">
        <v>241700640</v>
      </c>
      <c r="B792" s="147">
        <v>1342</v>
      </c>
    </row>
    <row r="793" spans="1:2" x14ac:dyDescent="0.25">
      <c r="A793" s="281">
        <v>241700699</v>
      </c>
      <c r="B793" s="147">
        <v>795.1</v>
      </c>
    </row>
    <row r="794" spans="1:2" x14ac:dyDescent="0.25">
      <c r="A794" s="281">
        <v>241800374</v>
      </c>
      <c r="B794" s="147">
        <v>1260.8</v>
      </c>
    </row>
    <row r="795" spans="1:2" x14ac:dyDescent="0.25">
      <c r="A795" s="281">
        <v>241800424</v>
      </c>
      <c r="B795" s="147">
        <v>937</v>
      </c>
    </row>
    <row r="796" spans="1:2" x14ac:dyDescent="0.25">
      <c r="A796" s="281">
        <v>241800432</v>
      </c>
      <c r="B796" s="147">
        <v>889.2</v>
      </c>
    </row>
    <row r="797" spans="1:2" x14ac:dyDescent="0.25">
      <c r="A797" s="281">
        <v>241800457</v>
      </c>
      <c r="B797" s="147">
        <v>1164.9000000000001</v>
      </c>
    </row>
    <row r="798" spans="1:2" x14ac:dyDescent="0.25">
      <c r="A798" s="281">
        <v>241800507</v>
      </c>
      <c r="B798" s="147">
        <v>3135.7</v>
      </c>
    </row>
    <row r="799" spans="1:2" x14ac:dyDescent="0.25">
      <c r="A799" s="281">
        <v>241900133</v>
      </c>
      <c r="B799" s="147">
        <v>1391</v>
      </c>
    </row>
    <row r="800" spans="1:2" x14ac:dyDescent="0.25">
      <c r="A800" s="281">
        <v>241927201</v>
      </c>
      <c r="B800" s="147">
        <v>4619.2</v>
      </c>
    </row>
    <row r="801" spans="1:2" x14ac:dyDescent="0.25">
      <c r="A801" s="281">
        <v>241927243</v>
      </c>
      <c r="B801" s="147">
        <v>877.1</v>
      </c>
    </row>
    <row r="802" spans="1:2" x14ac:dyDescent="0.25">
      <c r="A802" s="281">
        <v>242000354</v>
      </c>
      <c r="B802" s="147">
        <v>5221.6000000000004</v>
      </c>
    </row>
    <row r="803" spans="1:2" x14ac:dyDescent="0.25">
      <c r="A803" s="281">
        <v>242000495</v>
      </c>
      <c r="B803" s="147">
        <v>1390.2</v>
      </c>
    </row>
    <row r="804" spans="1:2" x14ac:dyDescent="0.25">
      <c r="A804" s="281">
        <v>242000503</v>
      </c>
      <c r="B804" s="147">
        <v>854</v>
      </c>
    </row>
    <row r="805" spans="1:2" x14ac:dyDescent="0.25">
      <c r="A805" s="281">
        <v>242010056</v>
      </c>
      <c r="B805" s="147">
        <v>4474.6000000000004</v>
      </c>
    </row>
    <row r="806" spans="1:2" x14ac:dyDescent="0.25">
      <c r="A806" s="281">
        <v>242010130</v>
      </c>
      <c r="B806" s="147">
        <v>1222.9000000000001</v>
      </c>
    </row>
    <row r="807" spans="1:2" x14ac:dyDescent="0.25">
      <c r="A807" s="281">
        <v>242020071</v>
      </c>
      <c r="B807" s="147">
        <v>3657.2</v>
      </c>
    </row>
    <row r="808" spans="1:2" x14ac:dyDescent="0.25">
      <c r="A808" s="281">
        <v>242020105</v>
      </c>
      <c r="B808" s="147">
        <v>1763.3</v>
      </c>
    </row>
    <row r="809" spans="1:2" x14ac:dyDescent="0.25">
      <c r="A809" s="281">
        <v>242100154</v>
      </c>
      <c r="B809" s="147">
        <v>899.1</v>
      </c>
    </row>
    <row r="810" spans="1:2" x14ac:dyDescent="0.25">
      <c r="A810" s="281">
        <v>242100410</v>
      </c>
      <c r="B810" s="147">
        <v>3965.9</v>
      </c>
    </row>
    <row r="811" spans="1:2" x14ac:dyDescent="0.25">
      <c r="A811" s="281">
        <v>242101434</v>
      </c>
      <c r="B811" s="147">
        <v>950.9</v>
      </c>
    </row>
    <row r="812" spans="1:2" x14ac:dyDescent="0.25">
      <c r="A812" s="281">
        <v>242101442</v>
      </c>
      <c r="B812" s="147">
        <v>1185.0999999999999</v>
      </c>
    </row>
    <row r="813" spans="1:2" x14ac:dyDescent="0.25">
      <c r="A813" s="281">
        <v>242101459</v>
      </c>
      <c r="B813" s="147">
        <v>3018.1</v>
      </c>
    </row>
    <row r="814" spans="1:2" x14ac:dyDescent="0.25">
      <c r="A814" s="281">
        <v>242101491</v>
      </c>
      <c r="B814" s="147">
        <v>1208</v>
      </c>
    </row>
    <row r="815" spans="1:2" x14ac:dyDescent="0.25">
      <c r="A815" s="281">
        <v>242101509</v>
      </c>
      <c r="B815" s="147">
        <v>784.2</v>
      </c>
    </row>
    <row r="816" spans="1:2" x14ac:dyDescent="0.25">
      <c r="A816" s="281">
        <v>242200715</v>
      </c>
      <c r="B816" s="147">
        <v>960</v>
      </c>
    </row>
    <row r="817" spans="1:2" x14ac:dyDescent="0.25">
      <c r="A817" s="281">
        <v>242300135</v>
      </c>
      <c r="B817" s="147">
        <v>1770.5</v>
      </c>
    </row>
    <row r="818" spans="1:2" x14ac:dyDescent="0.25">
      <c r="A818" s="281">
        <v>242320000</v>
      </c>
      <c r="B818" s="147">
        <v>1422.4</v>
      </c>
    </row>
    <row r="819" spans="1:2" x14ac:dyDescent="0.25">
      <c r="A819" s="281">
        <v>242320109</v>
      </c>
      <c r="B819" s="147">
        <v>659.4</v>
      </c>
    </row>
    <row r="820" spans="1:2" x14ac:dyDescent="0.25">
      <c r="A820" s="281">
        <v>242400752</v>
      </c>
      <c r="B820" s="147">
        <v>1111.0999999999999</v>
      </c>
    </row>
    <row r="821" spans="1:2" x14ac:dyDescent="0.25">
      <c r="A821" s="281">
        <v>242400935</v>
      </c>
      <c r="B821" s="147">
        <v>885.5</v>
      </c>
    </row>
    <row r="822" spans="1:2" x14ac:dyDescent="0.25">
      <c r="A822" s="281">
        <v>242401024</v>
      </c>
      <c r="B822" s="147">
        <v>840.8</v>
      </c>
    </row>
    <row r="823" spans="1:2" x14ac:dyDescent="0.25">
      <c r="A823" s="281">
        <v>242500320</v>
      </c>
      <c r="B823" s="147">
        <v>530</v>
      </c>
    </row>
    <row r="824" spans="1:2" x14ac:dyDescent="0.25">
      <c r="A824" s="281">
        <v>242500338</v>
      </c>
      <c r="B824" s="147">
        <v>1366.2</v>
      </c>
    </row>
    <row r="825" spans="1:2" x14ac:dyDescent="0.25">
      <c r="A825" s="281">
        <v>242500361</v>
      </c>
      <c r="B825" s="147">
        <v>3124.4</v>
      </c>
    </row>
    <row r="826" spans="1:2" x14ac:dyDescent="0.25">
      <c r="A826" s="281">
        <v>242504116</v>
      </c>
      <c r="B826" s="147">
        <v>637.6</v>
      </c>
    </row>
    <row r="827" spans="1:2" x14ac:dyDescent="0.25">
      <c r="A827" s="281">
        <v>242504181</v>
      </c>
      <c r="B827" s="147">
        <v>659.9</v>
      </c>
    </row>
    <row r="828" spans="1:2" x14ac:dyDescent="0.25">
      <c r="A828" s="281">
        <v>242504355</v>
      </c>
      <c r="B828" s="147">
        <v>489.7</v>
      </c>
    </row>
    <row r="829" spans="1:2" x14ac:dyDescent="0.25">
      <c r="A829" s="281">
        <v>242504371</v>
      </c>
      <c r="B829" s="147">
        <v>696.3</v>
      </c>
    </row>
    <row r="830" spans="1:2" x14ac:dyDescent="0.25">
      <c r="A830" s="281">
        <v>242504447</v>
      </c>
      <c r="B830" s="147">
        <v>890.2</v>
      </c>
    </row>
    <row r="831" spans="1:2" x14ac:dyDescent="0.25">
      <c r="A831" s="281">
        <v>242504488</v>
      </c>
      <c r="B831" s="147">
        <v>792.7</v>
      </c>
    </row>
    <row r="832" spans="1:2" x14ac:dyDescent="0.25">
      <c r="A832" s="281">
        <v>242504496</v>
      </c>
      <c r="B832" s="147">
        <v>992</v>
      </c>
    </row>
    <row r="833" spans="1:2" x14ac:dyDescent="0.25">
      <c r="A833" s="281">
        <v>242600252</v>
      </c>
      <c r="B833" s="147">
        <v>818.4</v>
      </c>
    </row>
    <row r="834" spans="1:2" x14ac:dyDescent="0.25">
      <c r="A834" s="281">
        <v>242600492</v>
      </c>
      <c r="B834" s="147">
        <v>817</v>
      </c>
    </row>
    <row r="835" spans="1:2" x14ac:dyDescent="0.25">
      <c r="A835" s="281">
        <v>242600534</v>
      </c>
      <c r="B835" s="147">
        <v>1212.5999999999999</v>
      </c>
    </row>
    <row r="836" spans="1:2" x14ac:dyDescent="0.25">
      <c r="A836" s="281">
        <v>242700276</v>
      </c>
      <c r="B836" s="147">
        <v>1015.3</v>
      </c>
    </row>
    <row r="837" spans="1:2" x14ac:dyDescent="0.25">
      <c r="A837" s="281">
        <v>242700607</v>
      </c>
      <c r="B837" s="147">
        <v>863.1</v>
      </c>
    </row>
    <row r="838" spans="1:2" x14ac:dyDescent="0.25">
      <c r="A838" s="281">
        <v>242852465</v>
      </c>
      <c r="B838" s="147">
        <v>889.5</v>
      </c>
    </row>
    <row r="839" spans="1:2" x14ac:dyDescent="0.25">
      <c r="A839" s="281">
        <v>242900074</v>
      </c>
      <c r="B839" s="147">
        <v>701.1</v>
      </c>
    </row>
    <row r="840" spans="1:2" x14ac:dyDescent="0.25">
      <c r="A840" s="281">
        <v>242900314</v>
      </c>
      <c r="B840" s="147">
        <v>2253.6</v>
      </c>
    </row>
    <row r="841" spans="1:2" x14ac:dyDescent="0.25">
      <c r="A841" s="281">
        <v>242900553</v>
      </c>
      <c r="B841" s="147">
        <v>688.9</v>
      </c>
    </row>
    <row r="842" spans="1:2" x14ac:dyDescent="0.25">
      <c r="A842" s="281">
        <v>242900561</v>
      </c>
      <c r="B842" s="147">
        <v>1287.9000000000001</v>
      </c>
    </row>
    <row r="843" spans="1:2" x14ac:dyDescent="0.25">
      <c r="A843" s="281">
        <v>242900629</v>
      </c>
      <c r="B843" s="147">
        <v>1252.2</v>
      </c>
    </row>
    <row r="844" spans="1:2" x14ac:dyDescent="0.25">
      <c r="A844" s="281">
        <v>242900645</v>
      </c>
      <c r="B844" s="147">
        <v>1361.7</v>
      </c>
    </row>
    <row r="845" spans="1:2" x14ac:dyDescent="0.25">
      <c r="A845" s="281">
        <v>242900660</v>
      </c>
      <c r="B845" s="147">
        <v>1033.5</v>
      </c>
    </row>
    <row r="846" spans="1:2" x14ac:dyDescent="0.25">
      <c r="A846" s="281">
        <v>242900694</v>
      </c>
      <c r="B846" s="147">
        <v>1011.6</v>
      </c>
    </row>
    <row r="847" spans="1:2" x14ac:dyDescent="0.25">
      <c r="A847" s="281">
        <v>242900702</v>
      </c>
      <c r="B847" s="147">
        <v>1051.5</v>
      </c>
    </row>
    <row r="848" spans="1:2" x14ac:dyDescent="0.25">
      <c r="A848" s="281">
        <v>242900710</v>
      </c>
      <c r="B848" s="147">
        <v>907.6</v>
      </c>
    </row>
    <row r="849" spans="1:2" x14ac:dyDescent="0.25">
      <c r="A849" s="281">
        <v>242900744</v>
      </c>
      <c r="B849" s="147">
        <v>1023.6</v>
      </c>
    </row>
    <row r="850" spans="1:2" x14ac:dyDescent="0.25">
      <c r="A850" s="281">
        <v>242900751</v>
      </c>
      <c r="B850" s="147">
        <v>803</v>
      </c>
    </row>
    <row r="851" spans="1:2" x14ac:dyDescent="0.25">
      <c r="A851" s="281">
        <v>242900769</v>
      </c>
      <c r="B851" s="147">
        <v>1278.5</v>
      </c>
    </row>
    <row r="852" spans="1:2" x14ac:dyDescent="0.25">
      <c r="A852" s="281">
        <v>242900793</v>
      </c>
      <c r="B852" s="147">
        <v>551.5</v>
      </c>
    </row>
    <row r="853" spans="1:2" x14ac:dyDescent="0.25">
      <c r="A853" s="281">
        <v>242900801</v>
      </c>
      <c r="B853" s="147">
        <v>886.6</v>
      </c>
    </row>
    <row r="854" spans="1:2" x14ac:dyDescent="0.25">
      <c r="A854" s="281">
        <v>242900835</v>
      </c>
      <c r="B854" s="147">
        <v>1311.6</v>
      </c>
    </row>
    <row r="855" spans="1:2" x14ac:dyDescent="0.25">
      <c r="A855" s="281">
        <v>243000270</v>
      </c>
      <c r="B855" s="147">
        <v>1358.4</v>
      </c>
    </row>
    <row r="856" spans="1:2" x14ac:dyDescent="0.25">
      <c r="A856" s="281">
        <v>243000296</v>
      </c>
      <c r="B856" s="147">
        <v>880.3</v>
      </c>
    </row>
    <row r="857" spans="1:2" x14ac:dyDescent="0.25">
      <c r="A857" s="281">
        <v>243000569</v>
      </c>
      <c r="B857" s="147">
        <v>998.6</v>
      </c>
    </row>
    <row r="858" spans="1:2" x14ac:dyDescent="0.25">
      <c r="A858" s="281">
        <v>243000585</v>
      </c>
      <c r="B858" s="147">
        <v>1168.5999999999999</v>
      </c>
    </row>
    <row r="859" spans="1:2" x14ac:dyDescent="0.25">
      <c r="A859" s="281">
        <v>243000593</v>
      </c>
      <c r="B859" s="147">
        <v>1148.9000000000001</v>
      </c>
    </row>
    <row r="860" spans="1:2" x14ac:dyDescent="0.25">
      <c r="A860" s="281">
        <v>243000643</v>
      </c>
      <c r="B860" s="147">
        <v>3047.8</v>
      </c>
    </row>
    <row r="861" spans="1:2" x14ac:dyDescent="0.25">
      <c r="A861" s="281">
        <v>243000650</v>
      </c>
      <c r="B861" s="147">
        <v>1897.4</v>
      </c>
    </row>
    <row r="862" spans="1:2" x14ac:dyDescent="0.25">
      <c r="A862" s="281">
        <v>243000684</v>
      </c>
      <c r="B862" s="147">
        <v>1269.3</v>
      </c>
    </row>
    <row r="863" spans="1:2" x14ac:dyDescent="0.25">
      <c r="A863" s="281">
        <v>243100518</v>
      </c>
      <c r="B863" s="147">
        <v>3593.9</v>
      </c>
    </row>
    <row r="864" spans="1:2" x14ac:dyDescent="0.25">
      <c r="A864" s="281">
        <v>243100567</v>
      </c>
      <c r="B864" s="147">
        <v>987.6</v>
      </c>
    </row>
    <row r="865" spans="1:2" x14ac:dyDescent="0.25">
      <c r="A865" s="281">
        <v>243100633</v>
      </c>
      <c r="B865" s="147">
        <v>1538.2</v>
      </c>
    </row>
    <row r="866" spans="1:2" x14ac:dyDescent="0.25">
      <c r="A866" s="281">
        <v>243100732</v>
      </c>
      <c r="B866" s="147">
        <v>677.7</v>
      </c>
    </row>
    <row r="867" spans="1:2" x14ac:dyDescent="0.25">
      <c r="A867" s="281">
        <v>243100773</v>
      </c>
      <c r="B867" s="147">
        <v>1276</v>
      </c>
    </row>
    <row r="868" spans="1:2" x14ac:dyDescent="0.25">
      <c r="A868" s="281">
        <v>243100781</v>
      </c>
      <c r="B868" s="147">
        <v>928</v>
      </c>
    </row>
    <row r="869" spans="1:2" x14ac:dyDescent="0.25">
      <c r="A869" s="281">
        <v>243100815</v>
      </c>
      <c r="B869" s="147">
        <v>901.9</v>
      </c>
    </row>
    <row r="870" spans="1:2" x14ac:dyDescent="0.25">
      <c r="A870" s="281">
        <v>243200391</v>
      </c>
      <c r="B870" s="147">
        <v>962.5</v>
      </c>
    </row>
    <row r="871" spans="1:2" x14ac:dyDescent="0.25">
      <c r="A871" s="281">
        <v>243200409</v>
      </c>
      <c r="B871" s="147">
        <v>1172.9000000000001</v>
      </c>
    </row>
    <row r="872" spans="1:2" x14ac:dyDescent="0.25">
      <c r="A872" s="281">
        <v>243200417</v>
      </c>
      <c r="B872" s="147">
        <v>887.9</v>
      </c>
    </row>
    <row r="873" spans="1:2" x14ac:dyDescent="0.25">
      <c r="A873" s="281">
        <v>243200425</v>
      </c>
      <c r="B873" s="147">
        <v>1507.6</v>
      </c>
    </row>
    <row r="874" spans="1:2" x14ac:dyDescent="0.25">
      <c r="A874" s="281">
        <v>243200458</v>
      </c>
      <c r="B874" s="147">
        <v>1089.3</v>
      </c>
    </row>
    <row r="875" spans="1:2" x14ac:dyDescent="0.25">
      <c r="A875" s="281">
        <v>243200508</v>
      </c>
      <c r="B875" s="147">
        <v>925.8</v>
      </c>
    </row>
    <row r="876" spans="1:2" x14ac:dyDescent="0.25">
      <c r="A876" s="281">
        <v>243200599</v>
      </c>
      <c r="B876" s="147">
        <v>917.1</v>
      </c>
    </row>
    <row r="877" spans="1:2" x14ac:dyDescent="0.25">
      <c r="A877" s="281">
        <v>243200607</v>
      </c>
      <c r="B877" s="147">
        <v>885.2</v>
      </c>
    </row>
    <row r="878" spans="1:2" x14ac:dyDescent="0.25">
      <c r="A878" s="281">
        <v>243300316</v>
      </c>
      <c r="B878" s="147">
        <v>3444.4</v>
      </c>
    </row>
    <row r="879" spans="1:2" x14ac:dyDescent="0.25">
      <c r="A879" s="281">
        <v>243300563</v>
      </c>
      <c r="B879" s="147">
        <v>1767.5</v>
      </c>
    </row>
    <row r="880" spans="1:2" x14ac:dyDescent="0.25">
      <c r="A880" s="281">
        <v>243300811</v>
      </c>
      <c r="B880" s="147">
        <v>1212.3</v>
      </c>
    </row>
    <row r="881" spans="1:2" x14ac:dyDescent="0.25">
      <c r="A881" s="281">
        <v>243301165</v>
      </c>
      <c r="B881" s="147">
        <v>1252.0999999999999</v>
      </c>
    </row>
    <row r="882" spans="1:2" x14ac:dyDescent="0.25">
      <c r="A882" s="281">
        <v>243301181</v>
      </c>
      <c r="B882" s="147">
        <v>776.4</v>
      </c>
    </row>
    <row r="883" spans="1:2" x14ac:dyDescent="0.25">
      <c r="A883" s="281">
        <v>243301215</v>
      </c>
      <c r="B883" s="147">
        <v>985.2</v>
      </c>
    </row>
    <row r="884" spans="1:2" x14ac:dyDescent="0.25">
      <c r="A884" s="281">
        <v>243301223</v>
      </c>
      <c r="B884" s="147">
        <v>826.8</v>
      </c>
    </row>
    <row r="885" spans="1:2" x14ac:dyDescent="0.25">
      <c r="A885" s="281">
        <v>243301249</v>
      </c>
      <c r="B885" s="147">
        <v>847</v>
      </c>
    </row>
    <row r="886" spans="1:2" x14ac:dyDescent="0.25">
      <c r="A886" s="281">
        <v>243301264</v>
      </c>
      <c r="B886" s="147">
        <v>868.5</v>
      </c>
    </row>
    <row r="887" spans="1:2" x14ac:dyDescent="0.25">
      <c r="A887" s="281">
        <v>243301355</v>
      </c>
      <c r="B887" s="147">
        <v>643.20000000000005</v>
      </c>
    </row>
    <row r="888" spans="1:2" x14ac:dyDescent="0.25">
      <c r="A888" s="281">
        <v>243301371</v>
      </c>
      <c r="B888" s="147">
        <v>1073.8</v>
      </c>
    </row>
    <row r="889" spans="1:2" x14ac:dyDescent="0.25">
      <c r="A889" s="281">
        <v>243301389</v>
      </c>
      <c r="B889" s="147">
        <v>803.6</v>
      </c>
    </row>
    <row r="890" spans="1:2" x14ac:dyDescent="0.25">
      <c r="A890" s="281">
        <v>243301397</v>
      </c>
      <c r="B890" s="147">
        <v>730.2</v>
      </c>
    </row>
    <row r="891" spans="1:2" x14ac:dyDescent="0.25">
      <c r="A891" s="281">
        <v>243301405</v>
      </c>
      <c r="B891" s="147">
        <v>5855.5</v>
      </c>
    </row>
    <row r="892" spans="1:2" x14ac:dyDescent="0.25">
      <c r="A892" s="281">
        <v>243301439</v>
      </c>
      <c r="B892" s="147">
        <v>998.8</v>
      </c>
    </row>
    <row r="893" spans="1:2" x14ac:dyDescent="0.25">
      <c r="A893" s="281">
        <v>243301447</v>
      </c>
      <c r="B893" s="147">
        <v>841.5</v>
      </c>
    </row>
    <row r="894" spans="1:2" x14ac:dyDescent="0.25">
      <c r="A894" s="281">
        <v>243301454</v>
      </c>
      <c r="B894" s="147">
        <v>1019</v>
      </c>
    </row>
    <row r="895" spans="1:2" x14ac:dyDescent="0.25">
      <c r="A895" s="281">
        <v>243301504</v>
      </c>
      <c r="B895" s="147">
        <v>1149.7</v>
      </c>
    </row>
    <row r="896" spans="1:2" x14ac:dyDescent="0.25">
      <c r="A896" s="281">
        <v>243400017</v>
      </c>
      <c r="B896" s="147">
        <v>2981.6</v>
      </c>
    </row>
    <row r="897" spans="1:2" x14ac:dyDescent="0.25">
      <c r="A897" s="281">
        <v>243400355</v>
      </c>
      <c r="B897" s="147">
        <v>1369.6</v>
      </c>
    </row>
    <row r="898" spans="1:2" x14ac:dyDescent="0.25">
      <c r="A898" s="281">
        <v>243400470</v>
      </c>
      <c r="B898" s="147">
        <v>2074.3000000000002</v>
      </c>
    </row>
    <row r="899" spans="1:2" x14ac:dyDescent="0.25">
      <c r="A899" s="281">
        <v>243400488</v>
      </c>
      <c r="B899" s="147">
        <v>1115.3</v>
      </c>
    </row>
    <row r="900" spans="1:2" x14ac:dyDescent="0.25">
      <c r="A900" s="281">
        <v>243400520</v>
      </c>
      <c r="B900" s="147">
        <v>1048.8</v>
      </c>
    </row>
    <row r="901" spans="1:2" x14ac:dyDescent="0.25">
      <c r="A901" s="281">
        <v>243400694</v>
      </c>
      <c r="B901" s="147">
        <v>1154.5999999999999</v>
      </c>
    </row>
    <row r="902" spans="1:2" x14ac:dyDescent="0.25">
      <c r="A902" s="281">
        <v>243400736</v>
      </c>
      <c r="B902" s="147">
        <v>913.8</v>
      </c>
    </row>
    <row r="903" spans="1:2" x14ac:dyDescent="0.25">
      <c r="A903" s="281">
        <v>243400769</v>
      </c>
      <c r="B903" s="147">
        <v>2326.8000000000002</v>
      </c>
    </row>
    <row r="904" spans="1:2" x14ac:dyDescent="0.25">
      <c r="A904" s="281">
        <v>243400819</v>
      </c>
      <c r="B904" s="147">
        <v>1778.5</v>
      </c>
    </row>
    <row r="905" spans="1:2" x14ac:dyDescent="0.25">
      <c r="A905" s="281">
        <v>243500139</v>
      </c>
      <c r="B905" s="147">
        <v>3335.9</v>
      </c>
    </row>
    <row r="906" spans="1:2" x14ac:dyDescent="0.25">
      <c r="A906" s="281">
        <v>243500550</v>
      </c>
      <c r="B906" s="147">
        <v>821.4</v>
      </c>
    </row>
    <row r="907" spans="1:2" x14ac:dyDescent="0.25">
      <c r="A907" s="281">
        <v>243500618</v>
      </c>
      <c r="B907" s="147">
        <v>670.6</v>
      </c>
    </row>
    <row r="908" spans="1:2" x14ac:dyDescent="0.25">
      <c r="A908" s="281">
        <v>243500634</v>
      </c>
      <c r="B908" s="147">
        <v>703.4</v>
      </c>
    </row>
    <row r="909" spans="1:2" x14ac:dyDescent="0.25">
      <c r="A909" s="281">
        <v>243500659</v>
      </c>
      <c r="B909" s="147">
        <v>720.7</v>
      </c>
    </row>
    <row r="910" spans="1:2" x14ac:dyDescent="0.25">
      <c r="A910" s="281">
        <v>243500667</v>
      </c>
      <c r="B910" s="147">
        <v>830.2</v>
      </c>
    </row>
    <row r="911" spans="1:2" x14ac:dyDescent="0.25">
      <c r="A911" s="281">
        <v>243500725</v>
      </c>
      <c r="B911" s="147">
        <v>1448.5</v>
      </c>
    </row>
    <row r="912" spans="1:2" x14ac:dyDescent="0.25">
      <c r="A912" s="281">
        <v>243500733</v>
      </c>
      <c r="B912" s="147">
        <v>895.7</v>
      </c>
    </row>
    <row r="913" spans="1:2" x14ac:dyDescent="0.25">
      <c r="A913" s="281">
        <v>243500741</v>
      </c>
      <c r="B913" s="147">
        <v>890.8</v>
      </c>
    </row>
    <row r="914" spans="1:2" x14ac:dyDescent="0.25">
      <c r="A914" s="281">
        <v>243500774</v>
      </c>
      <c r="B914" s="147">
        <v>961</v>
      </c>
    </row>
    <row r="915" spans="1:2" x14ac:dyDescent="0.25">
      <c r="A915" s="281">
        <v>243500782</v>
      </c>
      <c r="B915" s="147">
        <v>1722.3</v>
      </c>
    </row>
    <row r="916" spans="1:2" x14ac:dyDescent="0.25">
      <c r="A916" s="281">
        <v>243600202</v>
      </c>
      <c r="B916" s="147">
        <v>789.7</v>
      </c>
    </row>
    <row r="917" spans="1:2" x14ac:dyDescent="0.25">
      <c r="A917" s="281">
        <v>243600236</v>
      </c>
      <c r="B917" s="147">
        <v>1228.3</v>
      </c>
    </row>
    <row r="918" spans="1:2" x14ac:dyDescent="0.25">
      <c r="A918" s="281">
        <v>243600293</v>
      </c>
      <c r="B918" s="147">
        <v>910.3</v>
      </c>
    </row>
    <row r="919" spans="1:2" x14ac:dyDescent="0.25">
      <c r="A919" s="281">
        <v>243600301</v>
      </c>
      <c r="B919" s="147">
        <v>890</v>
      </c>
    </row>
    <row r="920" spans="1:2" x14ac:dyDescent="0.25">
      <c r="A920" s="281">
        <v>243600319</v>
      </c>
      <c r="B920" s="147">
        <v>1036.5999999999999</v>
      </c>
    </row>
    <row r="921" spans="1:2" x14ac:dyDescent="0.25">
      <c r="A921" s="281">
        <v>243600327</v>
      </c>
      <c r="B921" s="147">
        <v>3927.7</v>
      </c>
    </row>
    <row r="922" spans="1:2" x14ac:dyDescent="0.25">
      <c r="A922" s="281">
        <v>243600343</v>
      </c>
      <c r="B922" s="147">
        <v>979.4</v>
      </c>
    </row>
    <row r="923" spans="1:2" x14ac:dyDescent="0.25">
      <c r="A923" s="281">
        <v>243600350</v>
      </c>
      <c r="B923" s="147">
        <v>927.2</v>
      </c>
    </row>
    <row r="924" spans="1:2" x14ac:dyDescent="0.25">
      <c r="A924" s="281">
        <v>243700499</v>
      </c>
      <c r="B924" s="147">
        <v>991.9</v>
      </c>
    </row>
    <row r="925" spans="1:2" x14ac:dyDescent="0.25">
      <c r="A925" s="281">
        <v>243700754</v>
      </c>
      <c r="B925" s="147">
        <v>3117.1</v>
      </c>
    </row>
    <row r="926" spans="1:2" x14ac:dyDescent="0.25">
      <c r="A926" s="281">
        <v>243700820</v>
      </c>
      <c r="B926" s="147">
        <v>698.1</v>
      </c>
    </row>
    <row r="927" spans="1:2" x14ac:dyDescent="0.25">
      <c r="A927" s="281">
        <v>243800604</v>
      </c>
      <c r="B927" s="147">
        <v>1484.2</v>
      </c>
    </row>
    <row r="928" spans="1:2" x14ac:dyDescent="0.25">
      <c r="A928" s="281">
        <v>243800745</v>
      </c>
      <c r="B928" s="147">
        <v>3370.2</v>
      </c>
    </row>
    <row r="929" spans="1:2" x14ac:dyDescent="0.25">
      <c r="A929" s="281">
        <v>243800935</v>
      </c>
      <c r="B929" s="147">
        <v>851.7</v>
      </c>
    </row>
    <row r="930" spans="1:2" x14ac:dyDescent="0.25">
      <c r="A930" s="281">
        <v>243800984</v>
      </c>
      <c r="B930" s="147">
        <v>1259</v>
      </c>
    </row>
    <row r="931" spans="1:2" x14ac:dyDescent="0.25">
      <c r="A931" s="281">
        <v>243801024</v>
      </c>
      <c r="B931" s="147">
        <v>1793.1</v>
      </c>
    </row>
    <row r="932" spans="1:2" x14ac:dyDescent="0.25">
      <c r="A932" s="281">
        <v>243801073</v>
      </c>
      <c r="B932" s="147">
        <v>770.8</v>
      </c>
    </row>
    <row r="933" spans="1:2" x14ac:dyDescent="0.25">
      <c r="A933" s="281">
        <v>243801255</v>
      </c>
      <c r="B933" s="147">
        <v>996.7</v>
      </c>
    </row>
    <row r="934" spans="1:2" x14ac:dyDescent="0.25">
      <c r="A934" s="281">
        <v>243900354</v>
      </c>
      <c r="B934" s="147">
        <v>958.8</v>
      </c>
    </row>
    <row r="935" spans="1:2" x14ac:dyDescent="0.25">
      <c r="A935" s="281">
        <v>243900420</v>
      </c>
      <c r="B935" s="147">
        <v>885</v>
      </c>
    </row>
    <row r="936" spans="1:2" x14ac:dyDescent="0.25">
      <c r="A936" s="281">
        <v>243900479</v>
      </c>
      <c r="B936" s="147">
        <v>1001.9</v>
      </c>
    </row>
    <row r="937" spans="1:2" x14ac:dyDescent="0.25">
      <c r="A937" s="281">
        <v>243900560</v>
      </c>
      <c r="B937" s="147">
        <v>845.3</v>
      </c>
    </row>
    <row r="938" spans="1:2" x14ac:dyDescent="0.25">
      <c r="A938" s="281">
        <v>243900610</v>
      </c>
      <c r="B938" s="147">
        <v>1043.5</v>
      </c>
    </row>
    <row r="939" spans="1:2" x14ac:dyDescent="0.25">
      <c r="A939" s="281">
        <v>243901089</v>
      </c>
      <c r="B939" s="147">
        <v>802.1</v>
      </c>
    </row>
    <row r="940" spans="1:2" x14ac:dyDescent="0.25">
      <c r="A940" s="281">
        <v>244000543</v>
      </c>
      <c r="B940" s="147">
        <v>2188.9</v>
      </c>
    </row>
    <row r="941" spans="1:2" x14ac:dyDescent="0.25">
      <c r="A941" s="281">
        <v>244000659</v>
      </c>
      <c r="B941" s="147">
        <v>1382.9</v>
      </c>
    </row>
    <row r="942" spans="1:2" x14ac:dyDescent="0.25">
      <c r="A942" s="281">
        <v>244000675</v>
      </c>
      <c r="B942" s="147">
        <v>1916.2</v>
      </c>
    </row>
    <row r="943" spans="1:2" x14ac:dyDescent="0.25">
      <c r="A943" s="281">
        <v>244000691</v>
      </c>
      <c r="B943" s="147">
        <v>1458.3</v>
      </c>
    </row>
    <row r="944" spans="1:2" x14ac:dyDescent="0.25">
      <c r="A944" s="281">
        <v>244000766</v>
      </c>
      <c r="B944" s="147">
        <v>1273.5</v>
      </c>
    </row>
    <row r="945" spans="1:2" x14ac:dyDescent="0.25">
      <c r="A945" s="281">
        <v>244000774</v>
      </c>
      <c r="B945" s="147">
        <v>1027.8</v>
      </c>
    </row>
    <row r="946" spans="1:2" x14ac:dyDescent="0.25">
      <c r="A946" s="281">
        <v>244000808</v>
      </c>
      <c r="B946" s="147">
        <v>6248.8</v>
      </c>
    </row>
    <row r="947" spans="1:2" x14ac:dyDescent="0.25">
      <c r="A947" s="281">
        <v>244000824</v>
      </c>
      <c r="B947" s="147">
        <v>1120.2</v>
      </c>
    </row>
    <row r="948" spans="1:2" x14ac:dyDescent="0.25">
      <c r="A948" s="281">
        <v>244000857</v>
      </c>
      <c r="B948" s="147">
        <v>1707.8</v>
      </c>
    </row>
    <row r="949" spans="1:2" x14ac:dyDescent="0.25">
      <c r="A949" s="281">
        <v>244000865</v>
      </c>
      <c r="B949" s="147">
        <v>1552.7</v>
      </c>
    </row>
    <row r="950" spans="1:2" x14ac:dyDescent="0.25">
      <c r="A950" s="281">
        <v>244000873</v>
      </c>
      <c r="B950" s="147">
        <v>1471.2</v>
      </c>
    </row>
    <row r="951" spans="1:2" x14ac:dyDescent="0.25">
      <c r="A951" s="281">
        <v>244000881</v>
      </c>
      <c r="B951" s="147">
        <v>965.1</v>
      </c>
    </row>
    <row r="952" spans="1:2" x14ac:dyDescent="0.25">
      <c r="A952" s="281">
        <v>244100293</v>
      </c>
      <c r="B952" s="147">
        <v>781.2</v>
      </c>
    </row>
    <row r="953" spans="1:2" x14ac:dyDescent="0.25">
      <c r="A953" s="281">
        <v>244100780</v>
      </c>
      <c r="B953" s="147">
        <v>941.4</v>
      </c>
    </row>
    <row r="954" spans="1:2" x14ac:dyDescent="0.25">
      <c r="A954" s="281">
        <v>244100798</v>
      </c>
      <c r="B954" s="147">
        <v>1228.8</v>
      </c>
    </row>
    <row r="955" spans="1:2" x14ac:dyDescent="0.25">
      <c r="A955" s="281">
        <v>244100806</v>
      </c>
      <c r="B955" s="147">
        <v>1055.4000000000001</v>
      </c>
    </row>
    <row r="956" spans="1:2" x14ac:dyDescent="0.25">
      <c r="A956" s="281">
        <v>244200614</v>
      </c>
      <c r="B956" s="147">
        <v>743.8</v>
      </c>
    </row>
    <row r="957" spans="1:2" x14ac:dyDescent="0.25">
      <c r="A957" s="281">
        <v>244200622</v>
      </c>
      <c r="B957" s="147">
        <v>600.9</v>
      </c>
    </row>
    <row r="958" spans="1:2" x14ac:dyDescent="0.25">
      <c r="A958" s="281">
        <v>244200630</v>
      </c>
      <c r="B958" s="147">
        <v>726</v>
      </c>
    </row>
    <row r="959" spans="1:2" x14ac:dyDescent="0.25">
      <c r="A959" s="281">
        <v>244200770</v>
      </c>
      <c r="B959" s="147">
        <v>2053.6</v>
      </c>
    </row>
    <row r="960" spans="1:2" x14ac:dyDescent="0.25">
      <c r="A960" s="281">
        <v>244200820</v>
      </c>
      <c r="B960" s="147">
        <v>657.6</v>
      </c>
    </row>
    <row r="961" spans="1:2" x14ac:dyDescent="0.25">
      <c r="A961" s="281">
        <v>244200895</v>
      </c>
      <c r="B961" s="147">
        <v>751.8</v>
      </c>
    </row>
    <row r="962" spans="1:2" x14ac:dyDescent="0.25">
      <c r="A962" s="281">
        <v>244300307</v>
      </c>
      <c r="B962" s="147">
        <v>541.70000000000005</v>
      </c>
    </row>
    <row r="963" spans="1:2" x14ac:dyDescent="0.25">
      <c r="A963" s="281">
        <v>244301016</v>
      </c>
      <c r="B963" s="147">
        <v>705.1</v>
      </c>
    </row>
    <row r="964" spans="1:2" x14ac:dyDescent="0.25">
      <c r="A964" s="281">
        <v>244301099</v>
      </c>
      <c r="B964" s="147">
        <v>804.7</v>
      </c>
    </row>
    <row r="965" spans="1:2" x14ac:dyDescent="0.25">
      <c r="A965" s="281">
        <v>244301107</v>
      </c>
      <c r="B965" s="147">
        <v>827.3</v>
      </c>
    </row>
    <row r="966" spans="1:2" x14ac:dyDescent="0.25">
      <c r="A966" s="281">
        <v>244301123</v>
      </c>
      <c r="B966" s="147">
        <v>837.5</v>
      </c>
    </row>
    <row r="967" spans="1:2" x14ac:dyDescent="0.25">
      <c r="A967" s="281">
        <v>244301131</v>
      </c>
      <c r="B967" s="147">
        <v>744.4</v>
      </c>
    </row>
    <row r="968" spans="1:2" x14ac:dyDescent="0.25">
      <c r="A968" s="281">
        <v>244400404</v>
      </c>
      <c r="B968" s="147">
        <v>2962.9</v>
      </c>
    </row>
    <row r="969" spans="1:2" x14ac:dyDescent="0.25">
      <c r="A969" s="281">
        <v>244400438</v>
      </c>
      <c r="B969" s="147">
        <v>688.6</v>
      </c>
    </row>
    <row r="970" spans="1:2" x14ac:dyDescent="0.25">
      <c r="A970" s="281">
        <v>244400453</v>
      </c>
      <c r="B970" s="147">
        <v>790.8</v>
      </c>
    </row>
    <row r="971" spans="1:2" x14ac:dyDescent="0.25">
      <c r="A971" s="281">
        <v>244400503</v>
      </c>
      <c r="B971" s="147">
        <v>751.4</v>
      </c>
    </row>
    <row r="972" spans="1:2" x14ac:dyDescent="0.25">
      <c r="A972" s="281">
        <v>244400537</v>
      </c>
      <c r="B972" s="147">
        <v>743.4</v>
      </c>
    </row>
    <row r="973" spans="1:2" x14ac:dyDescent="0.25">
      <c r="A973" s="281">
        <v>244400552</v>
      </c>
      <c r="B973" s="147">
        <v>673.1</v>
      </c>
    </row>
    <row r="974" spans="1:2" x14ac:dyDescent="0.25">
      <c r="A974" s="281">
        <v>244400586</v>
      </c>
      <c r="B974" s="147">
        <v>887.2</v>
      </c>
    </row>
    <row r="975" spans="1:2" x14ac:dyDescent="0.25">
      <c r="A975" s="281">
        <v>244400610</v>
      </c>
      <c r="B975" s="147">
        <v>1313.4</v>
      </c>
    </row>
    <row r="976" spans="1:2" x14ac:dyDescent="0.25">
      <c r="A976" s="281">
        <v>244400644</v>
      </c>
      <c r="B976" s="147">
        <v>1824.7</v>
      </c>
    </row>
    <row r="977" spans="1:2" x14ac:dyDescent="0.25">
      <c r="A977" s="281">
        <v>244500203</v>
      </c>
      <c r="B977" s="147">
        <v>1540.6</v>
      </c>
    </row>
    <row r="978" spans="1:2" x14ac:dyDescent="0.25">
      <c r="A978" s="281">
        <v>244500211</v>
      </c>
      <c r="B978" s="147">
        <v>1197.8</v>
      </c>
    </row>
    <row r="979" spans="1:2" x14ac:dyDescent="0.25">
      <c r="A979" s="281">
        <v>244500419</v>
      </c>
      <c r="B979" s="147">
        <v>790.1</v>
      </c>
    </row>
    <row r="980" spans="1:2" x14ac:dyDescent="0.25">
      <c r="A980" s="281">
        <v>244500427</v>
      </c>
      <c r="B980" s="147">
        <v>872.4</v>
      </c>
    </row>
    <row r="981" spans="1:2" x14ac:dyDescent="0.25">
      <c r="A981" s="281">
        <v>244500468</v>
      </c>
      <c r="B981" s="147">
        <v>3338</v>
      </c>
    </row>
    <row r="982" spans="1:2" x14ac:dyDescent="0.25">
      <c r="A982" s="281">
        <v>244500484</v>
      </c>
      <c r="B982" s="147">
        <v>811.3</v>
      </c>
    </row>
    <row r="983" spans="1:2" x14ac:dyDescent="0.25">
      <c r="A983" s="281">
        <v>244500542</v>
      </c>
      <c r="B983" s="147">
        <v>751</v>
      </c>
    </row>
    <row r="984" spans="1:2" x14ac:dyDescent="0.25">
      <c r="A984" s="281">
        <v>244600433</v>
      </c>
      <c r="B984" s="147">
        <v>1090.8</v>
      </c>
    </row>
    <row r="985" spans="1:2" x14ac:dyDescent="0.25">
      <c r="A985" s="281">
        <v>244600482</v>
      </c>
      <c r="B985" s="147">
        <v>1164.7</v>
      </c>
    </row>
    <row r="986" spans="1:2" x14ac:dyDescent="0.25">
      <c r="A986" s="281">
        <v>244600532</v>
      </c>
      <c r="B986" s="147">
        <v>868.6</v>
      </c>
    </row>
    <row r="987" spans="1:2" x14ac:dyDescent="0.25">
      <c r="A987" s="281">
        <v>244600573</v>
      </c>
      <c r="B987" s="147">
        <v>1066.5999999999999</v>
      </c>
    </row>
    <row r="988" spans="1:2" x14ac:dyDescent="0.25">
      <c r="A988" s="281">
        <v>244700449</v>
      </c>
      <c r="B988" s="147">
        <v>838.3</v>
      </c>
    </row>
    <row r="989" spans="1:2" x14ac:dyDescent="0.25">
      <c r="A989" s="281">
        <v>244700464</v>
      </c>
      <c r="B989" s="147">
        <v>782.7</v>
      </c>
    </row>
    <row r="990" spans="1:2" x14ac:dyDescent="0.25">
      <c r="A990" s="281">
        <v>244701355</v>
      </c>
      <c r="B990" s="147">
        <v>853.1</v>
      </c>
    </row>
    <row r="991" spans="1:2" x14ac:dyDescent="0.25">
      <c r="A991" s="281">
        <v>244701405</v>
      </c>
      <c r="B991" s="147">
        <v>754.2</v>
      </c>
    </row>
    <row r="992" spans="1:2" x14ac:dyDescent="0.25">
      <c r="A992" s="281">
        <v>244800405</v>
      </c>
      <c r="B992" s="147">
        <v>5458.2</v>
      </c>
    </row>
    <row r="993" spans="1:2" x14ac:dyDescent="0.25">
      <c r="A993" s="281">
        <v>244800470</v>
      </c>
      <c r="B993" s="147">
        <v>1050.2</v>
      </c>
    </row>
    <row r="994" spans="1:2" x14ac:dyDescent="0.25">
      <c r="A994" s="281">
        <v>244900015</v>
      </c>
      <c r="B994" s="147">
        <v>2677.1</v>
      </c>
    </row>
    <row r="995" spans="1:2" x14ac:dyDescent="0.25">
      <c r="A995" s="281">
        <v>244900809</v>
      </c>
      <c r="B995" s="147">
        <v>778.3</v>
      </c>
    </row>
    <row r="996" spans="1:2" x14ac:dyDescent="0.25">
      <c r="A996" s="281">
        <v>244900882</v>
      </c>
      <c r="B996" s="147">
        <v>937</v>
      </c>
    </row>
    <row r="997" spans="1:2" x14ac:dyDescent="0.25">
      <c r="A997" s="281">
        <v>245100615</v>
      </c>
      <c r="B997" s="147">
        <v>890.8</v>
      </c>
    </row>
    <row r="998" spans="1:2" x14ac:dyDescent="0.25">
      <c r="A998" s="281">
        <v>245100888</v>
      </c>
      <c r="B998" s="147">
        <v>774.2</v>
      </c>
    </row>
    <row r="999" spans="1:2" x14ac:dyDescent="0.25">
      <c r="A999" s="281">
        <v>245100979</v>
      </c>
      <c r="B999" s="147">
        <v>725.5</v>
      </c>
    </row>
    <row r="1000" spans="1:2" x14ac:dyDescent="0.25">
      <c r="A1000" s="281">
        <v>245200597</v>
      </c>
      <c r="B1000" s="147">
        <v>761.9</v>
      </c>
    </row>
    <row r="1001" spans="1:2" x14ac:dyDescent="0.25">
      <c r="A1001" s="281">
        <v>245300223</v>
      </c>
      <c r="B1001" s="147">
        <v>870.3</v>
      </c>
    </row>
    <row r="1002" spans="1:2" x14ac:dyDescent="0.25">
      <c r="A1002" s="281">
        <v>245300355</v>
      </c>
      <c r="B1002" s="147">
        <v>797</v>
      </c>
    </row>
    <row r="1003" spans="1:2" x14ac:dyDescent="0.25">
      <c r="A1003" s="281">
        <v>245300389</v>
      </c>
      <c r="B1003" s="147">
        <v>781.4</v>
      </c>
    </row>
    <row r="1004" spans="1:2" x14ac:dyDescent="0.25">
      <c r="A1004" s="281">
        <v>245300447</v>
      </c>
      <c r="B1004" s="147">
        <v>781.9</v>
      </c>
    </row>
    <row r="1005" spans="1:2" x14ac:dyDescent="0.25">
      <c r="A1005" s="281">
        <v>245400171</v>
      </c>
      <c r="B1005" s="147">
        <v>916.1</v>
      </c>
    </row>
    <row r="1006" spans="1:2" x14ac:dyDescent="0.25">
      <c r="A1006" s="281">
        <v>245400189</v>
      </c>
      <c r="B1006" s="147">
        <v>998.3</v>
      </c>
    </row>
    <row r="1007" spans="1:2" x14ac:dyDescent="0.25">
      <c r="A1007" s="281">
        <v>245400262</v>
      </c>
      <c r="B1007" s="147">
        <v>984.3</v>
      </c>
    </row>
    <row r="1008" spans="1:2" x14ac:dyDescent="0.25">
      <c r="A1008" s="281">
        <v>245400510</v>
      </c>
      <c r="B1008" s="147">
        <v>1061</v>
      </c>
    </row>
    <row r="1009" spans="1:2" x14ac:dyDescent="0.25">
      <c r="A1009" s="281">
        <v>245400601</v>
      </c>
      <c r="B1009" s="147">
        <v>1094.2</v>
      </c>
    </row>
    <row r="1010" spans="1:2" x14ac:dyDescent="0.25">
      <c r="A1010" s="281">
        <v>245400676</v>
      </c>
      <c r="B1010" s="147">
        <v>3355.3</v>
      </c>
    </row>
    <row r="1011" spans="1:2" x14ac:dyDescent="0.25">
      <c r="A1011" s="281">
        <v>245400759</v>
      </c>
      <c r="B1011" s="147">
        <v>756.4</v>
      </c>
    </row>
    <row r="1012" spans="1:2" x14ac:dyDescent="0.25">
      <c r="A1012" s="281">
        <v>245500327</v>
      </c>
      <c r="B1012" s="147">
        <v>1693.2</v>
      </c>
    </row>
    <row r="1013" spans="1:2" x14ac:dyDescent="0.25">
      <c r="A1013" s="281">
        <v>245501176</v>
      </c>
      <c r="B1013" s="147">
        <v>882.2</v>
      </c>
    </row>
    <row r="1014" spans="1:2" x14ac:dyDescent="0.25">
      <c r="A1014" s="281">
        <v>245501184</v>
      </c>
      <c r="B1014" s="147">
        <v>1043.9000000000001</v>
      </c>
    </row>
    <row r="1015" spans="1:2" x14ac:dyDescent="0.25">
      <c r="A1015" s="281">
        <v>245501242</v>
      </c>
      <c r="B1015" s="147">
        <v>833.6</v>
      </c>
    </row>
    <row r="1016" spans="1:2" x14ac:dyDescent="0.25">
      <c r="A1016" s="281">
        <v>245501259</v>
      </c>
      <c r="B1016" s="147">
        <v>1803.8</v>
      </c>
    </row>
    <row r="1017" spans="1:2" x14ac:dyDescent="0.25">
      <c r="A1017" s="281">
        <v>245600440</v>
      </c>
      <c r="B1017" s="147">
        <v>774.7</v>
      </c>
    </row>
    <row r="1018" spans="1:2" x14ac:dyDescent="0.25">
      <c r="A1018" s="281">
        <v>245600465</v>
      </c>
      <c r="B1018" s="147">
        <v>1077.0999999999999</v>
      </c>
    </row>
    <row r="1019" spans="1:2" x14ac:dyDescent="0.25">
      <c r="A1019" s="281">
        <v>245614383</v>
      </c>
      <c r="B1019" s="147">
        <v>777</v>
      </c>
    </row>
    <row r="1020" spans="1:2" x14ac:dyDescent="0.25">
      <c r="A1020" s="281">
        <v>245614417</v>
      </c>
      <c r="B1020" s="147">
        <v>855</v>
      </c>
    </row>
    <row r="1021" spans="1:2" x14ac:dyDescent="0.25">
      <c r="A1021" s="281">
        <v>245614433</v>
      </c>
      <c r="B1021" s="147">
        <v>902</v>
      </c>
    </row>
    <row r="1022" spans="1:2" x14ac:dyDescent="0.25">
      <c r="A1022" s="281">
        <v>245700133</v>
      </c>
      <c r="B1022" s="147">
        <v>808</v>
      </c>
    </row>
    <row r="1023" spans="1:2" x14ac:dyDescent="0.25">
      <c r="A1023" s="281">
        <v>245700372</v>
      </c>
      <c r="B1023" s="147">
        <v>1094.7</v>
      </c>
    </row>
    <row r="1024" spans="1:2" x14ac:dyDescent="0.25">
      <c r="A1024" s="281">
        <v>245700398</v>
      </c>
      <c r="B1024" s="147">
        <v>1225.2</v>
      </c>
    </row>
    <row r="1025" spans="1:2" x14ac:dyDescent="0.25">
      <c r="A1025" s="281">
        <v>245700695</v>
      </c>
      <c r="B1025" s="147">
        <v>877.6</v>
      </c>
    </row>
    <row r="1026" spans="1:2" x14ac:dyDescent="0.25">
      <c r="A1026" s="281">
        <v>245700950</v>
      </c>
      <c r="B1026" s="147">
        <v>733</v>
      </c>
    </row>
    <row r="1027" spans="1:2" x14ac:dyDescent="0.25">
      <c r="A1027" s="281">
        <v>245701164</v>
      </c>
      <c r="B1027" s="147">
        <v>1659.9</v>
      </c>
    </row>
    <row r="1028" spans="1:2" x14ac:dyDescent="0.25">
      <c r="A1028" s="281">
        <v>245701206</v>
      </c>
      <c r="B1028" s="147">
        <v>808.6</v>
      </c>
    </row>
    <row r="1029" spans="1:2" x14ac:dyDescent="0.25">
      <c r="A1029" s="281">
        <v>245701222</v>
      </c>
      <c r="B1029" s="147">
        <v>1008.6</v>
      </c>
    </row>
    <row r="1030" spans="1:2" x14ac:dyDescent="0.25">
      <c r="A1030" s="281">
        <v>245701271</v>
      </c>
      <c r="B1030" s="147">
        <v>1007.4</v>
      </c>
    </row>
    <row r="1031" spans="1:2" x14ac:dyDescent="0.25">
      <c r="A1031" s="281">
        <v>245701354</v>
      </c>
      <c r="B1031" s="147">
        <v>676.3</v>
      </c>
    </row>
    <row r="1032" spans="1:2" x14ac:dyDescent="0.25">
      <c r="A1032" s="281">
        <v>245701362</v>
      </c>
      <c r="B1032" s="147">
        <v>1797.7</v>
      </c>
    </row>
    <row r="1033" spans="1:2" x14ac:dyDescent="0.25">
      <c r="A1033" s="281">
        <v>245701404</v>
      </c>
      <c r="B1033" s="147">
        <v>857.7</v>
      </c>
    </row>
    <row r="1034" spans="1:2" x14ac:dyDescent="0.25">
      <c r="A1034" s="281">
        <v>245801063</v>
      </c>
      <c r="B1034" s="147">
        <v>628.29999999999995</v>
      </c>
    </row>
    <row r="1035" spans="1:2" x14ac:dyDescent="0.25">
      <c r="A1035" s="281">
        <v>245804406</v>
      </c>
      <c r="B1035" s="147">
        <v>4917.1000000000004</v>
      </c>
    </row>
    <row r="1036" spans="1:2" x14ac:dyDescent="0.25">
      <c r="A1036" s="281">
        <v>245804497</v>
      </c>
      <c r="B1036" s="147">
        <v>863.9</v>
      </c>
    </row>
    <row r="1037" spans="1:2" x14ac:dyDescent="0.25">
      <c r="A1037" s="281">
        <v>245900410</v>
      </c>
      <c r="B1037" s="147">
        <v>2786.9</v>
      </c>
    </row>
    <row r="1038" spans="1:2" x14ac:dyDescent="0.25">
      <c r="A1038" s="281">
        <v>245900428</v>
      </c>
      <c r="B1038" s="147">
        <v>2733.8</v>
      </c>
    </row>
    <row r="1039" spans="1:2" x14ac:dyDescent="0.25">
      <c r="A1039" s="281">
        <v>245900758</v>
      </c>
      <c r="B1039" s="147">
        <v>944</v>
      </c>
    </row>
    <row r="1040" spans="1:2" x14ac:dyDescent="0.25">
      <c r="A1040" s="281">
        <v>245901038</v>
      </c>
      <c r="B1040" s="147">
        <v>837.1</v>
      </c>
    </row>
    <row r="1041" spans="1:2" x14ac:dyDescent="0.25">
      <c r="A1041" s="281">
        <v>245901061</v>
      </c>
      <c r="B1041" s="147">
        <v>890.3</v>
      </c>
    </row>
    <row r="1042" spans="1:2" x14ac:dyDescent="0.25">
      <c r="A1042" s="281">
        <v>245901152</v>
      </c>
      <c r="B1042" s="147">
        <v>1268.5</v>
      </c>
    </row>
    <row r="1043" spans="1:2" x14ac:dyDescent="0.25">
      <c r="A1043" s="281">
        <v>245901160</v>
      </c>
      <c r="B1043" s="147">
        <v>2287.5</v>
      </c>
    </row>
    <row r="1044" spans="1:2" x14ac:dyDescent="0.25">
      <c r="A1044" s="281">
        <v>246000129</v>
      </c>
      <c r="B1044" s="147">
        <v>915.7</v>
      </c>
    </row>
    <row r="1045" spans="1:2" x14ac:dyDescent="0.25">
      <c r="A1045" s="281">
        <v>246000376</v>
      </c>
      <c r="B1045" s="147">
        <v>958.1</v>
      </c>
    </row>
    <row r="1046" spans="1:2" x14ac:dyDescent="0.25">
      <c r="A1046" s="281">
        <v>246000566</v>
      </c>
      <c r="B1046" s="147">
        <v>824.2</v>
      </c>
    </row>
    <row r="1047" spans="1:2" x14ac:dyDescent="0.25">
      <c r="A1047" s="281">
        <v>246000582</v>
      </c>
      <c r="B1047" s="147">
        <v>814.5</v>
      </c>
    </row>
    <row r="1048" spans="1:2" x14ac:dyDescent="0.25">
      <c r="A1048" s="281">
        <v>246000707</v>
      </c>
      <c r="B1048" s="147">
        <v>644.20000000000005</v>
      </c>
    </row>
    <row r="1049" spans="1:2" x14ac:dyDescent="0.25">
      <c r="A1049" s="281">
        <v>246000749</v>
      </c>
      <c r="B1049" s="147">
        <v>776.7</v>
      </c>
    </row>
    <row r="1050" spans="1:2" x14ac:dyDescent="0.25">
      <c r="A1050" s="281">
        <v>246000756</v>
      </c>
      <c r="B1050" s="147">
        <v>1060.9000000000001</v>
      </c>
    </row>
    <row r="1051" spans="1:2" x14ac:dyDescent="0.25">
      <c r="A1051" s="281">
        <v>246000764</v>
      </c>
      <c r="B1051" s="147">
        <v>778.9</v>
      </c>
    </row>
    <row r="1052" spans="1:2" x14ac:dyDescent="0.25">
      <c r="A1052" s="281">
        <v>246000772</v>
      </c>
      <c r="B1052" s="147">
        <v>967.1</v>
      </c>
    </row>
    <row r="1053" spans="1:2" x14ac:dyDescent="0.25">
      <c r="A1053" s="281">
        <v>246000848</v>
      </c>
      <c r="B1053" s="147">
        <v>796.4</v>
      </c>
    </row>
    <row r="1054" spans="1:2" x14ac:dyDescent="0.25">
      <c r="A1054" s="281">
        <v>246000855</v>
      </c>
      <c r="B1054" s="147">
        <v>695.8</v>
      </c>
    </row>
    <row r="1055" spans="1:2" x14ac:dyDescent="0.25">
      <c r="A1055" s="281">
        <v>246000871</v>
      </c>
      <c r="B1055" s="147">
        <v>1427.3</v>
      </c>
    </row>
    <row r="1056" spans="1:2" x14ac:dyDescent="0.25">
      <c r="A1056" s="281">
        <v>246000897</v>
      </c>
      <c r="B1056" s="147">
        <v>971.6</v>
      </c>
    </row>
    <row r="1057" spans="1:2" x14ac:dyDescent="0.25">
      <c r="A1057" s="281">
        <v>246000913</v>
      </c>
      <c r="B1057" s="147">
        <v>780</v>
      </c>
    </row>
    <row r="1058" spans="1:2" x14ac:dyDescent="0.25">
      <c r="A1058" s="281">
        <v>246000921</v>
      </c>
      <c r="B1058" s="147">
        <v>2109.4</v>
      </c>
    </row>
    <row r="1059" spans="1:2" x14ac:dyDescent="0.25">
      <c r="A1059" s="281">
        <v>246100390</v>
      </c>
      <c r="B1059" s="147">
        <v>538.9</v>
      </c>
    </row>
    <row r="1060" spans="1:2" x14ac:dyDescent="0.25">
      <c r="A1060" s="281">
        <v>246100663</v>
      </c>
      <c r="B1060" s="147">
        <v>3992.4</v>
      </c>
    </row>
    <row r="1061" spans="1:2" x14ac:dyDescent="0.25">
      <c r="A1061" s="281">
        <v>246200299</v>
      </c>
      <c r="B1061" s="147">
        <v>1235.5</v>
      </c>
    </row>
    <row r="1062" spans="1:2" x14ac:dyDescent="0.25">
      <c r="A1062" s="281">
        <v>246200364</v>
      </c>
      <c r="B1062" s="147">
        <v>1597.2</v>
      </c>
    </row>
    <row r="1063" spans="1:2" x14ac:dyDescent="0.25">
      <c r="A1063" s="281">
        <v>246200380</v>
      </c>
      <c r="B1063" s="147">
        <v>980</v>
      </c>
    </row>
    <row r="1064" spans="1:2" x14ac:dyDescent="0.25">
      <c r="A1064" s="281">
        <v>246200729</v>
      </c>
      <c r="B1064" s="147">
        <v>2559.9</v>
      </c>
    </row>
    <row r="1065" spans="1:2" x14ac:dyDescent="0.25">
      <c r="A1065" s="281">
        <v>246200844</v>
      </c>
      <c r="B1065" s="147">
        <v>713</v>
      </c>
    </row>
    <row r="1066" spans="1:2" x14ac:dyDescent="0.25">
      <c r="A1066" s="281">
        <v>246201016</v>
      </c>
      <c r="B1066" s="147">
        <v>701.9</v>
      </c>
    </row>
    <row r="1067" spans="1:2" x14ac:dyDescent="0.25">
      <c r="A1067" s="281">
        <v>246300701</v>
      </c>
      <c r="B1067" s="147">
        <v>3518.2</v>
      </c>
    </row>
    <row r="1068" spans="1:2" x14ac:dyDescent="0.25">
      <c r="A1068" s="281">
        <v>246300966</v>
      </c>
      <c r="B1068" s="147">
        <v>2825.5</v>
      </c>
    </row>
    <row r="1069" spans="1:2" x14ac:dyDescent="0.25">
      <c r="A1069" s="281">
        <v>246301097</v>
      </c>
      <c r="B1069" s="147">
        <v>911.1</v>
      </c>
    </row>
    <row r="1070" spans="1:2" x14ac:dyDescent="0.25">
      <c r="A1070" s="281">
        <v>246400337</v>
      </c>
      <c r="B1070" s="147">
        <v>1890.1</v>
      </c>
    </row>
    <row r="1071" spans="1:2" x14ac:dyDescent="0.25">
      <c r="A1071" s="281">
        <v>246401756</v>
      </c>
      <c r="B1071" s="147">
        <v>721.3</v>
      </c>
    </row>
    <row r="1072" spans="1:2" x14ac:dyDescent="0.25">
      <c r="A1072" s="281">
        <v>246500482</v>
      </c>
      <c r="B1072" s="147">
        <v>1876.9</v>
      </c>
    </row>
    <row r="1073" spans="1:2" x14ac:dyDescent="0.25">
      <c r="A1073" s="281">
        <v>246500573</v>
      </c>
      <c r="B1073" s="147">
        <v>2107.8000000000002</v>
      </c>
    </row>
    <row r="1074" spans="1:2" x14ac:dyDescent="0.25">
      <c r="A1074" s="281">
        <v>246600282</v>
      </c>
      <c r="B1074" s="147">
        <v>1468</v>
      </c>
    </row>
    <row r="1075" spans="1:2" x14ac:dyDescent="0.25">
      <c r="A1075" s="281">
        <v>246600373</v>
      </c>
      <c r="B1075" s="147">
        <v>1357.8</v>
      </c>
    </row>
    <row r="1076" spans="1:2" x14ac:dyDescent="0.25">
      <c r="A1076" s="281">
        <v>246600399</v>
      </c>
      <c r="B1076" s="147">
        <v>1412.3</v>
      </c>
    </row>
    <row r="1077" spans="1:2" x14ac:dyDescent="0.25">
      <c r="A1077" s="281">
        <v>246600415</v>
      </c>
      <c r="B1077" s="147">
        <v>1218.0999999999999</v>
      </c>
    </row>
    <row r="1078" spans="1:2" x14ac:dyDescent="0.25">
      <c r="A1078" s="281">
        <v>246600423</v>
      </c>
      <c r="B1078" s="147">
        <v>1333.5</v>
      </c>
    </row>
    <row r="1079" spans="1:2" x14ac:dyDescent="0.25">
      <c r="A1079" s="281">
        <v>246600449</v>
      </c>
      <c r="B1079" s="147">
        <v>1019.1</v>
      </c>
    </row>
    <row r="1080" spans="1:2" x14ac:dyDescent="0.25">
      <c r="A1080" s="281">
        <v>246600464</v>
      </c>
      <c r="B1080" s="147">
        <v>3832.9</v>
      </c>
    </row>
    <row r="1081" spans="1:2" x14ac:dyDescent="0.25">
      <c r="A1081" s="281">
        <v>246600548</v>
      </c>
      <c r="B1081" s="147">
        <v>1673.8</v>
      </c>
    </row>
    <row r="1082" spans="1:2" x14ac:dyDescent="0.25">
      <c r="A1082" s="281">
        <v>246700306</v>
      </c>
      <c r="B1082" s="147">
        <v>939.2</v>
      </c>
    </row>
    <row r="1083" spans="1:2" x14ac:dyDescent="0.25">
      <c r="A1083" s="281">
        <v>246700488</v>
      </c>
      <c r="B1083" s="147">
        <v>3212</v>
      </c>
    </row>
    <row r="1084" spans="1:2" x14ac:dyDescent="0.25">
      <c r="A1084" s="281">
        <v>246700744</v>
      </c>
      <c r="B1084" s="147">
        <v>729.9</v>
      </c>
    </row>
    <row r="1085" spans="1:2" x14ac:dyDescent="0.25">
      <c r="A1085" s="281">
        <v>246700777</v>
      </c>
      <c r="B1085" s="147">
        <v>738</v>
      </c>
    </row>
    <row r="1086" spans="1:2" x14ac:dyDescent="0.25">
      <c r="A1086" s="281">
        <v>246700843</v>
      </c>
      <c r="B1086" s="147">
        <v>586.20000000000005</v>
      </c>
    </row>
    <row r="1087" spans="1:2" x14ac:dyDescent="0.25">
      <c r="A1087" s="281">
        <v>246700926</v>
      </c>
      <c r="B1087" s="147">
        <v>926.1</v>
      </c>
    </row>
    <row r="1088" spans="1:2" x14ac:dyDescent="0.25">
      <c r="A1088" s="281">
        <v>246700959</v>
      </c>
      <c r="B1088" s="147">
        <v>572.29999999999995</v>
      </c>
    </row>
    <row r="1089" spans="1:2" x14ac:dyDescent="0.25">
      <c r="A1089" s="281">
        <v>246700967</v>
      </c>
      <c r="B1089" s="147">
        <v>1471.5</v>
      </c>
    </row>
    <row r="1090" spans="1:2" x14ac:dyDescent="0.25">
      <c r="A1090" s="281">
        <v>246701064</v>
      </c>
      <c r="B1090" s="147">
        <v>947.4</v>
      </c>
    </row>
    <row r="1091" spans="1:2" x14ac:dyDescent="0.25">
      <c r="A1091" s="281">
        <v>246701080</v>
      </c>
      <c r="B1091" s="147">
        <v>884.3</v>
      </c>
    </row>
    <row r="1092" spans="1:2" x14ac:dyDescent="0.25">
      <c r="A1092" s="281">
        <v>246701098</v>
      </c>
      <c r="B1092" s="147">
        <v>878</v>
      </c>
    </row>
    <row r="1093" spans="1:2" x14ac:dyDescent="0.25">
      <c r="A1093" s="281">
        <v>246800205</v>
      </c>
      <c r="B1093" s="147">
        <v>1031.9000000000001</v>
      </c>
    </row>
    <row r="1094" spans="1:2" x14ac:dyDescent="0.25">
      <c r="A1094" s="281">
        <v>246800395</v>
      </c>
      <c r="B1094" s="147">
        <v>921.7</v>
      </c>
    </row>
    <row r="1095" spans="1:2" x14ac:dyDescent="0.25">
      <c r="A1095" s="281">
        <v>246800445</v>
      </c>
      <c r="B1095" s="147">
        <v>1225.5999999999999</v>
      </c>
    </row>
    <row r="1096" spans="1:2" x14ac:dyDescent="0.25">
      <c r="A1096" s="281">
        <v>246800494</v>
      </c>
      <c r="B1096" s="147">
        <v>898.9</v>
      </c>
    </row>
    <row r="1097" spans="1:2" x14ac:dyDescent="0.25">
      <c r="A1097" s="281">
        <v>246800551</v>
      </c>
      <c r="B1097" s="147">
        <v>883.5</v>
      </c>
    </row>
    <row r="1098" spans="1:2" x14ac:dyDescent="0.25">
      <c r="A1098" s="281">
        <v>246800569</v>
      </c>
      <c r="B1098" s="147">
        <v>992.3</v>
      </c>
    </row>
    <row r="1099" spans="1:2" x14ac:dyDescent="0.25">
      <c r="A1099" s="281">
        <v>246800577</v>
      </c>
      <c r="B1099" s="147">
        <v>1108.9000000000001</v>
      </c>
    </row>
    <row r="1100" spans="1:2" x14ac:dyDescent="0.25">
      <c r="A1100" s="281">
        <v>246800585</v>
      </c>
      <c r="B1100" s="147">
        <v>912.3</v>
      </c>
    </row>
    <row r="1101" spans="1:2" x14ac:dyDescent="0.25">
      <c r="A1101" s="281">
        <v>246800676</v>
      </c>
      <c r="B1101" s="147">
        <v>716.9</v>
      </c>
    </row>
    <row r="1102" spans="1:2" x14ac:dyDescent="0.25">
      <c r="A1102" s="281">
        <v>246800726</v>
      </c>
      <c r="B1102" s="147">
        <v>3300.8</v>
      </c>
    </row>
    <row r="1103" spans="1:2" x14ac:dyDescent="0.25">
      <c r="A1103" s="281">
        <v>246900575</v>
      </c>
      <c r="B1103" s="147">
        <v>1515.4</v>
      </c>
    </row>
    <row r="1104" spans="1:2" x14ac:dyDescent="0.25">
      <c r="A1104" s="281">
        <v>246900625</v>
      </c>
      <c r="B1104" s="147">
        <v>827.5</v>
      </c>
    </row>
    <row r="1105" spans="1:2" x14ac:dyDescent="0.25">
      <c r="A1105" s="281">
        <v>246900724</v>
      </c>
      <c r="B1105" s="147">
        <v>640.4</v>
      </c>
    </row>
    <row r="1106" spans="1:2" x14ac:dyDescent="0.25">
      <c r="A1106" s="281">
        <v>246900740</v>
      </c>
      <c r="B1106" s="147">
        <v>692</v>
      </c>
    </row>
    <row r="1107" spans="1:2" x14ac:dyDescent="0.25">
      <c r="A1107" s="281">
        <v>246900757</v>
      </c>
      <c r="B1107" s="147">
        <v>996.2</v>
      </c>
    </row>
    <row r="1108" spans="1:2" x14ac:dyDescent="0.25">
      <c r="A1108" s="281">
        <v>246900765</v>
      </c>
      <c r="B1108" s="147">
        <v>835</v>
      </c>
    </row>
    <row r="1109" spans="1:2" x14ac:dyDescent="0.25">
      <c r="A1109" s="281">
        <v>247000011</v>
      </c>
      <c r="B1109" s="147">
        <v>4882.3999999999996</v>
      </c>
    </row>
    <row r="1110" spans="1:2" x14ac:dyDescent="0.25">
      <c r="A1110" s="281">
        <v>247000367</v>
      </c>
      <c r="B1110" s="147">
        <v>1196.4000000000001</v>
      </c>
    </row>
    <row r="1111" spans="1:2" x14ac:dyDescent="0.25">
      <c r="A1111" s="281">
        <v>247000623</v>
      </c>
      <c r="B1111" s="147">
        <v>610.5</v>
      </c>
    </row>
    <row r="1112" spans="1:2" x14ac:dyDescent="0.25">
      <c r="A1112" s="281">
        <v>247000664</v>
      </c>
      <c r="B1112" s="147">
        <v>1111.8</v>
      </c>
    </row>
    <row r="1113" spans="1:2" x14ac:dyDescent="0.25">
      <c r="A1113" s="281">
        <v>247000698</v>
      </c>
      <c r="B1113" s="147">
        <v>608.9</v>
      </c>
    </row>
    <row r="1114" spans="1:2" x14ac:dyDescent="0.25">
      <c r="A1114" s="281">
        <v>247000706</v>
      </c>
      <c r="B1114" s="147">
        <v>911.9</v>
      </c>
    </row>
    <row r="1115" spans="1:2" x14ac:dyDescent="0.25">
      <c r="A1115" s="281">
        <v>247000714</v>
      </c>
      <c r="B1115" s="147">
        <v>721.5</v>
      </c>
    </row>
    <row r="1116" spans="1:2" x14ac:dyDescent="0.25">
      <c r="A1116" s="281">
        <v>247000722</v>
      </c>
      <c r="B1116" s="147">
        <v>902.6</v>
      </c>
    </row>
    <row r="1117" spans="1:2" x14ac:dyDescent="0.25">
      <c r="A1117" s="281">
        <v>247000755</v>
      </c>
      <c r="B1117" s="147">
        <v>1019.5</v>
      </c>
    </row>
    <row r="1118" spans="1:2" x14ac:dyDescent="0.25">
      <c r="A1118" s="281">
        <v>247000821</v>
      </c>
      <c r="B1118" s="147">
        <v>750.6</v>
      </c>
    </row>
    <row r="1119" spans="1:2" x14ac:dyDescent="0.25">
      <c r="A1119" s="281">
        <v>247000854</v>
      </c>
      <c r="B1119" s="147">
        <v>669</v>
      </c>
    </row>
    <row r="1120" spans="1:2" x14ac:dyDescent="0.25">
      <c r="A1120" s="281">
        <v>247100290</v>
      </c>
      <c r="B1120" s="147">
        <v>1392.7</v>
      </c>
    </row>
    <row r="1121" spans="1:2" x14ac:dyDescent="0.25">
      <c r="A1121" s="281">
        <v>247100589</v>
      </c>
      <c r="B1121" s="147">
        <v>1747</v>
      </c>
    </row>
    <row r="1122" spans="1:2" x14ac:dyDescent="0.25">
      <c r="A1122" s="281">
        <v>247100639</v>
      </c>
      <c r="B1122" s="147">
        <v>689.6</v>
      </c>
    </row>
    <row r="1123" spans="1:2" x14ac:dyDescent="0.25">
      <c r="A1123" s="281">
        <v>247100647</v>
      </c>
      <c r="B1123" s="147">
        <v>619.4</v>
      </c>
    </row>
    <row r="1124" spans="1:2" x14ac:dyDescent="0.25">
      <c r="A1124" s="281">
        <v>247103765</v>
      </c>
      <c r="B1124" s="147">
        <v>809.8</v>
      </c>
    </row>
    <row r="1125" spans="1:2" x14ac:dyDescent="0.25">
      <c r="A1125" s="281">
        <v>247103864</v>
      </c>
      <c r="B1125" s="147">
        <v>585.5</v>
      </c>
    </row>
    <row r="1126" spans="1:2" x14ac:dyDescent="0.25">
      <c r="A1126" s="281">
        <v>247104094</v>
      </c>
      <c r="B1126" s="147">
        <v>808.1</v>
      </c>
    </row>
    <row r="1127" spans="1:2" x14ac:dyDescent="0.25">
      <c r="A1127" s="281">
        <v>247200090</v>
      </c>
      <c r="B1127" s="147">
        <v>1082.3</v>
      </c>
    </row>
    <row r="1128" spans="1:2" x14ac:dyDescent="0.25">
      <c r="A1128" s="281">
        <v>247200132</v>
      </c>
      <c r="B1128" s="147">
        <v>3159.6</v>
      </c>
    </row>
    <row r="1129" spans="1:2" x14ac:dyDescent="0.25">
      <c r="A1129" s="281">
        <v>247200348</v>
      </c>
      <c r="B1129" s="147">
        <v>990.7</v>
      </c>
    </row>
    <row r="1130" spans="1:2" x14ac:dyDescent="0.25">
      <c r="A1130" s="281">
        <v>247200421</v>
      </c>
      <c r="B1130" s="147">
        <v>827.6</v>
      </c>
    </row>
    <row r="1131" spans="1:2" x14ac:dyDescent="0.25">
      <c r="A1131" s="281">
        <v>247200447</v>
      </c>
      <c r="B1131" s="147">
        <v>956.8</v>
      </c>
    </row>
    <row r="1132" spans="1:2" x14ac:dyDescent="0.25">
      <c r="A1132" s="281">
        <v>247200629</v>
      </c>
      <c r="B1132" s="147">
        <v>834.2</v>
      </c>
    </row>
    <row r="1133" spans="1:2" x14ac:dyDescent="0.25">
      <c r="A1133" s="281">
        <v>247200686</v>
      </c>
      <c r="B1133" s="147">
        <v>950.9</v>
      </c>
    </row>
    <row r="1134" spans="1:2" x14ac:dyDescent="0.25">
      <c r="A1134" s="281">
        <v>247300015</v>
      </c>
      <c r="B1134" s="147">
        <v>1369.7</v>
      </c>
    </row>
    <row r="1135" spans="1:2" x14ac:dyDescent="0.25">
      <c r="A1135" s="281">
        <v>247300254</v>
      </c>
      <c r="B1135" s="147">
        <v>2813.6</v>
      </c>
    </row>
    <row r="1136" spans="1:2" x14ac:dyDescent="0.25">
      <c r="A1136" s="281">
        <v>247300262</v>
      </c>
      <c r="B1136" s="147">
        <v>955.5</v>
      </c>
    </row>
    <row r="1137" spans="1:2" x14ac:dyDescent="0.25">
      <c r="A1137" s="281">
        <v>247300361</v>
      </c>
      <c r="B1137" s="147">
        <v>1415.2</v>
      </c>
    </row>
    <row r="1138" spans="1:2" x14ac:dyDescent="0.25">
      <c r="A1138" s="281">
        <v>247300452</v>
      </c>
      <c r="B1138" s="147">
        <v>2247</v>
      </c>
    </row>
    <row r="1139" spans="1:2" x14ac:dyDescent="0.25">
      <c r="A1139" s="281">
        <v>247300528</v>
      </c>
      <c r="B1139" s="147">
        <v>1135.0999999999999</v>
      </c>
    </row>
    <row r="1140" spans="1:2" x14ac:dyDescent="0.25">
      <c r="A1140" s="281">
        <v>247300668</v>
      </c>
      <c r="B1140" s="147">
        <v>867.3</v>
      </c>
    </row>
    <row r="1141" spans="1:2" x14ac:dyDescent="0.25">
      <c r="A1141" s="281">
        <v>247300676</v>
      </c>
      <c r="B1141" s="147">
        <v>1739.5</v>
      </c>
    </row>
    <row r="1142" spans="1:2" x14ac:dyDescent="0.25">
      <c r="A1142" s="281">
        <v>247300817</v>
      </c>
      <c r="B1142" s="147">
        <v>2077.5</v>
      </c>
    </row>
    <row r="1143" spans="1:2" x14ac:dyDescent="0.25">
      <c r="A1143" s="281">
        <v>247400047</v>
      </c>
      <c r="B1143" s="147">
        <v>759.7</v>
      </c>
    </row>
    <row r="1144" spans="1:2" x14ac:dyDescent="0.25">
      <c r="A1144" s="281">
        <v>247400112</v>
      </c>
      <c r="B1144" s="147">
        <v>815.9</v>
      </c>
    </row>
    <row r="1145" spans="1:2" x14ac:dyDescent="0.25">
      <c r="A1145" s="281">
        <v>247400567</v>
      </c>
      <c r="B1145" s="147">
        <v>751.1</v>
      </c>
    </row>
    <row r="1146" spans="1:2" x14ac:dyDescent="0.25">
      <c r="A1146" s="281">
        <v>247400583</v>
      </c>
      <c r="B1146" s="147">
        <v>828.7</v>
      </c>
    </row>
    <row r="1147" spans="1:2" x14ac:dyDescent="0.25">
      <c r="A1147" s="281">
        <v>247400617</v>
      </c>
      <c r="B1147" s="147">
        <v>1277.0999999999999</v>
      </c>
    </row>
    <row r="1148" spans="1:2" x14ac:dyDescent="0.25">
      <c r="A1148" s="281">
        <v>247400666</v>
      </c>
      <c r="B1148" s="147">
        <v>733.3</v>
      </c>
    </row>
    <row r="1149" spans="1:2" x14ac:dyDescent="0.25">
      <c r="A1149" s="281">
        <v>247400682</v>
      </c>
      <c r="B1149" s="147">
        <v>1396.2</v>
      </c>
    </row>
    <row r="1150" spans="1:2" x14ac:dyDescent="0.25">
      <c r="A1150" s="281">
        <v>247400690</v>
      </c>
      <c r="B1150" s="147">
        <v>903.8</v>
      </c>
    </row>
    <row r="1151" spans="1:2" x14ac:dyDescent="0.25">
      <c r="A1151" s="281">
        <v>247400724</v>
      </c>
      <c r="B1151" s="147">
        <v>1003.1</v>
      </c>
    </row>
    <row r="1152" spans="1:2" x14ac:dyDescent="0.25">
      <c r="A1152" s="281">
        <v>247400740</v>
      </c>
      <c r="B1152" s="147">
        <v>905.9</v>
      </c>
    </row>
    <row r="1153" spans="1:2" x14ac:dyDescent="0.25">
      <c r="A1153" s="281">
        <v>247400773</v>
      </c>
      <c r="B1153" s="147">
        <v>950.6</v>
      </c>
    </row>
    <row r="1154" spans="1:2" x14ac:dyDescent="0.25">
      <c r="A1154" s="281">
        <v>247600505</v>
      </c>
      <c r="B1154" s="147">
        <v>759.1</v>
      </c>
    </row>
    <row r="1155" spans="1:2" x14ac:dyDescent="0.25">
      <c r="A1155" s="281">
        <v>247600588</v>
      </c>
      <c r="B1155" s="147">
        <v>1200.4000000000001</v>
      </c>
    </row>
    <row r="1156" spans="1:2" x14ac:dyDescent="0.25">
      <c r="A1156" s="281">
        <v>247600604</v>
      </c>
      <c r="B1156" s="147">
        <v>591.20000000000005</v>
      </c>
    </row>
    <row r="1157" spans="1:2" x14ac:dyDescent="0.25">
      <c r="A1157" s="281">
        <v>247600620</v>
      </c>
      <c r="B1157" s="147">
        <v>3717.4</v>
      </c>
    </row>
    <row r="1158" spans="1:2" x14ac:dyDescent="0.25">
      <c r="A1158" s="281">
        <v>247600646</v>
      </c>
      <c r="B1158" s="147">
        <v>1045.2</v>
      </c>
    </row>
    <row r="1159" spans="1:2" x14ac:dyDescent="0.25">
      <c r="A1159" s="281">
        <v>247600729</v>
      </c>
      <c r="B1159" s="147">
        <v>1055.0999999999999</v>
      </c>
    </row>
    <row r="1160" spans="1:2" x14ac:dyDescent="0.25">
      <c r="A1160" s="281">
        <v>247600786</v>
      </c>
      <c r="B1160" s="147">
        <v>2661.7</v>
      </c>
    </row>
    <row r="1161" spans="1:2" x14ac:dyDescent="0.25">
      <c r="A1161" s="281">
        <v>247700032</v>
      </c>
      <c r="B1161" s="147">
        <v>1069.2</v>
      </c>
    </row>
    <row r="1162" spans="1:2" x14ac:dyDescent="0.25">
      <c r="A1162" s="281">
        <v>247700057</v>
      </c>
      <c r="B1162" s="147">
        <v>6568.6</v>
      </c>
    </row>
    <row r="1163" spans="1:2" x14ac:dyDescent="0.25">
      <c r="A1163" s="281">
        <v>247700065</v>
      </c>
      <c r="B1163" s="147">
        <v>898.1</v>
      </c>
    </row>
    <row r="1164" spans="1:2" x14ac:dyDescent="0.25">
      <c r="A1164" s="281">
        <v>247700107</v>
      </c>
      <c r="B1164" s="147">
        <v>1999.9</v>
      </c>
    </row>
    <row r="1165" spans="1:2" x14ac:dyDescent="0.25">
      <c r="A1165" s="281">
        <v>247700339</v>
      </c>
      <c r="B1165" s="147">
        <v>1693.6</v>
      </c>
    </row>
    <row r="1166" spans="1:2" x14ac:dyDescent="0.25">
      <c r="A1166" s="281">
        <v>247700594</v>
      </c>
      <c r="B1166" s="147">
        <v>1326</v>
      </c>
    </row>
    <row r="1167" spans="1:2" x14ac:dyDescent="0.25">
      <c r="A1167" s="281">
        <v>247700644</v>
      </c>
      <c r="B1167" s="147">
        <v>1310</v>
      </c>
    </row>
    <row r="1168" spans="1:2" x14ac:dyDescent="0.25">
      <c r="A1168" s="281">
        <v>247700701</v>
      </c>
      <c r="B1168" s="147">
        <v>1166.8</v>
      </c>
    </row>
    <row r="1169" spans="1:2" x14ac:dyDescent="0.25">
      <c r="A1169" s="281">
        <v>247800550</v>
      </c>
      <c r="B1169" s="147">
        <v>658.9</v>
      </c>
    </row>
    <row r="1170" spans="1:2" x14ac:dyDescent="0.25">
      <c r="A1170" s="281">
        <v>247800584</v>
      </c>
      <c r="B1170" s="147">
        <v>4397</v>
      </c>
    </row>
    <row r="1171" spans="1:2" x14ac:dyDescent="0.25">
      <c r="A1171" s="281">
        <v>247800618</v>
      </c>
      <c r="B1171" s="147">
        <v>931</v>
      </c>
    </row>
    <row r="1172" spans="1:2" x14ac:dyDescent="0.25">
      <c r="A1172" s="281">
        <v>247900798</v>
      </c>
      <c r="B1172" s="147">
        <v>1408.1</v>
      </c>
    </row>
    <row r="1173" spans="1:2" x14ac:dyDescent="0.25">
      <c r="A1173" s="281">
        <v>248000499</v>
      </c>
      <c r="B1173" s="147">
        <v>699.3</v>
      </c>
    </row>
    <row r="1174" spans="1:2" x14ac:dyDescent="0.25">
      <c r="A1174" s="281">
        <v>248000531</v>
      </c>
      <c r="B1174" s="147">
        <v>3812.3</v>
      </c>
    </row>
    <row r="1175" spans="1:2" x14ac:dyDescent="0.25">
      <c r="A1175" s="281">
        <v>248000747</v>
      </c>
      <c r="B1175" s="147">
        <v>849.6</v>
      </c>
    </row>
    <row r="1176" spans="1:2" x14ac:dyDescent="0.25">
      <c r="A1176" s="281">
        <v>248100158</v>
      </c>
      <c r="B1176" s="147">
        <v>961.8</v>
      </c>
    </row>
    <row r="1177" spans="1:2" x14ac:dyDescent="0.25">
      <c r="A1177" s="281">
        <v>248100430</v>
      </c>
      <c r="B1177" s="147">
        <v>1465</v>
      </c>
    </row>
    <row r="1178" spans="1:2" x14ac:dyDescent="0.25">
      <c r="A1178" s="281">
        <v>248100497</v>
      </c>
      <c r="B1178" s="147">
        <v>651.1</v>
      </c>
    </row>
    <row r="1179" spans="1:2" x14ac:dyDescent="0.25">
      <c r="A1179" s="281">
        <v>248100737</v>
      </c>
      <c r="B1179" s="147">
        <v>3306.4</v>
      </c>
    </row>
    <row r="1180" spans="1:2" x14ac:dyDescent="0.25">
      <c r="A1180" s="281">
        <v>248100745</v>
      </c>
      <c r="B1180" s="147">
        <v>992.4</v>
      </c>
    </row>
    <row r="1181" spans="1:2" x14ac:dyDescent="0.25">
      <c r="A1181" s="281">
        <v>248200016</v>
      </c>
      <c r="B1181" s="147">
        <v>1498.5</v>
      </c>
    </row>
    <row r="1182" spans="1:2" x14ac:dyDescent="0.25">
      <c r="A1182" s="281">
        <v>248200057</v>
      </c>
      <c r="B1182" s="147">
        <v>881.5</v>
      </c>
    </row>
    <row r="1183" spans="1:2" x14ac:dyDescent="0.25">
      <c r="A1183" s="281">
        <v>248200065</v>
      </c>
      <c r="B1183" s="147">
        <v>847.6</v>
      </c>
    </row>
    <row r="1184" spans="1:2" x14ac:dyDescent="0.25">
      <c r="A1184" s="281">
        <v>248200099</v>
      </c>
      <c r="B1184" s="147">
        <v>2983.6</v>
      </c>
    </row>
    <row r="1185" spans="1:2" x14ac:dyDescent="0.25">
      <c r="A1185" s="281">
        <v>248200107</v>
      </c>
      <c r="B1185" s="147">
        <v>1124.2</v>
      </c>
    </row>
    <row r="1186" spans="1:2" x14ac:dyDescent="0.25">
      <c r="A1186" s="281">
        <v>248300394</v>
      </c>
      <c r="B1186" s="147">
        <v>1159.0999999999999</v>
      </c>
    </row>
    <row r="1187" spans="1:2" x14ac:dyDescent="0.25">
      <c r="A1187" s="281">
        <v>248300410</v>
      </c>
      <c r="B1187" s="147">
        <v>1065.4000000000001</v>
      </c>
    </row>
    <row r="1188" spans="1:2" x14ac:dyDescent="0.25">
      <c r="A1188" s="281">
        <v>248300493</v>
      </c>
      <c r="B1188" s="147">
        <v>1914.9</v>
      </c>
    </row>
    <row r="1189" spans="1:2" x14ac:dyDescent="0.25">
      <c r="A1189" s="281">
        <v>248300543</v>
      </c>
      <c r="B1189" s="147">
        <v>2942.8</v>
      </c>
    </row>
    <row r="1190" spans="1:2" x14ac:dyDescent="0.25">
      <c r="A1190" s="281">
        <v>248300550</v>
      </c>
      <c r="B1190" s="147">
        <v>1058.0999999999999</v>
      </c>
    </row>
    <row r="1191" spans="1:2" x14ac:dyDescent="0.25">
      <c r="A1191" s="281">
        <v>248400053</v>
      </c>
      <c r="B1191" s="147">
        <v>1353.6</v>
      </c>
    </row>
    <row r="1192" spans="1:2" x14ac:dyDescent="0.25">
      <c r="A1192" s="281">
        <v>248400160</v>
      </c>
      <c r="B1192" s="147">
        <v>920.4</v>
      </c>
    </row>
    <row r="1193" spans="1:2" x14ac:dyDescent="0.25">
      <c r="A1193" s="281">
        <v>248400236</v>
      </c>
      <c r="B1193" s="147">
        <v>1126.5999999999999</v>
      </c>
    </row>
    <row r="1194" spans="1:2" x14ac:dyDescent="0.25">
      <c r="A1194" s="281">
        <v>248400251</v>
      </c>
      <c r="B1194" s="147">
        <v>3289.8</v>
      </c>
    </row>
    <row r="1195" spans="1:2" x14ac:dyDescent="0.25">
      <c r="A1195" s="281">
        <v>248400285</v>
      </c>
      <c r="B1195" s="147">
        <v>762.8</v>
      </c>
    </row>
    <row r="1196" spans="1:2" x14ac:dyDescent="0.25">
      <c r="A1196" s="281">
        <v>248400293</v>
      </c>
      <c r="B1196" s="147">
        <v>1449.1</v>
      </c>
    </row>
    <row r="1197" spans="1:2" x14ac:dyDescent="0.25">
      <c r="A1197" s="281">
        <v>248400319</v>
      </c>
      <c r="B1197" s="147">
        <v>1363.1</v>
      </c>
    </row>
    <row r="1198" spans="1:2" x14ac:dyDescent="0.25">
      <c r="A1198" s="281">
        <v>248400335</v>
      </c>
      <c r="B1198" s="147">
        <v>1259.5</v>
      </c>
    </row>
    <row r="1199" spans="1:2" x14ac:dyDescent="0.25">
      <c r="A1199" s="281">
        <v>248500191</v>
      </c>
      <c r="B1199" s="147">
        <v>1452.4</v>
      </c>
    </row>
    <row r="1200" spans="1:2" x14ac:dyDescent="0.25">
      <c r="A1200" s="281">
        <v>248500258</v>
      </c>
      <c r="B1200" s="147">
        <v>1719.5</v>
      </c>
    </row>
    <row r="1201" spans="1:2" x14ac:dyDescent="0.25">
      <c r="A1201" s="281">
        <v>248500340</v>
      </c>
      <c r="B1201" s="147">
        <v>868.6</v>
      </c>
    </row>
    <row r="1202" spans="1:2" x14ac:dyDescent="0.25">
      <c r="A1202" s="281">
        <v>248500415</v>
      </c>
      <c r="B1202" s="147">
        <v>777.3</v>
      </c>
    </row>
    <row r="1203" spans="1:2" x14ac:dyDescent="0.25">
      <c r="A1203" s="281">
        <v>248500464</v>
      </c>
      <c r="B1203" s="147">
        <v>806.1</v>
      </c>
    </row>
    <row r="1204" spans="1:2" x14ac:dyDescent="0.25">
      <c r="A1204" s="281">
        <v>248500530</v>
      </c>
      <c r="B1204" s="147">
        <v>881.9</v>
      </c>
    </row>
    <row r="1205" spans="1:2" x14ac:dyDescent="0.25">
      <c r="A1205" s="281">
        <v>248500563</v>
      </c>
      <c r="B1205" s="147">
        <v>1014.1</v>
      </c>
    </row>
    <row r="1206" spans="1:2" x14ac:dyDescent="0.25">
      <c r="A1206" s="281">
        <v>248500589</v>
      </c>
      <c r="B1206" s="147">
        <v>3861.4</v>
      </c>
    </row>
    <row r="1207" spans="1:2" x14ac:dyDescent="0.25">
      <c r="A1207" s="281">
        <v>248500621</v>
      </c>
      <c r="B1207" s="147">
        <v>1021.8</v>
      </c>
    </row>
    <row r="1208" spans="1:2" x14ac:dyDescent="0.25">
      <c r="A1208" s="281">
        <v>248500662</v>
      </c>
      <c r="B1208" s="147">
        <v>543.29999999999995</v>
      </c>
    </row>
    <row r="1209" spans="1:2" x14ac:dyDescent="0.25">
      <c r="A1209" s="281">
        <v>248600413</v>
      </c>
      <c r="B1209" s="147">
        <v>1330.1</v>
      </c>
    </row>
    <row r="1210" spans="1:2" x14ac:dyDescent="0.25">
      <c r="A1210" s="281">
        <v>248600447</v>
      </c>
      <c r="B1210" s="147">
        <v>796.1</v>
      </c>
    </row>
    <row r="1211" spans="1:2" x14ac:dyDescent="0.25">
      <c r="A1211" s="281">
        <v>248700189</v>
      </c>
      <c r="B1211" s="147">
        <v>1098.5</v>
      </c>
    </row>
    <row r="1212" spans="1:2" x14ac:dyDescent="0.25">
      <c r="A1212" s="281">
        <v>248719262</v>
      </c>
      <c r="B1212" s="147">
        <v>1040.9000000000001</v>
      </c>
    </row>
    <row r="1213" spans="1:2" x14ac:dyDescent="0.25">
      <c r="A1213" s="281">
        <v>248719288</v>
      </c>
      <c r="B1213" s="147">
        <v>863.5</v>
      </c>
    </row>
    <row r="1214" spans="1:2" x14ac:dyDescent="0.25">
      <c r="A1214" s="281">
        <v>248719312</v>
      </c>
      <c r="B1214" s="147">
        <v>3381.9</v>
      </c>
    </row>
    <row r="1215" spans="1:2" x14ac:dyDescent="0.25">
      <c r="A1215" s="281">
        <v>248719338</v>
      </c>
      <c r="B1215" s="147">
        <v>846.2</v>
      </c>
    </row>
    <row r="1216" spans="1:2" x14ac:dyDescent="0.25">
      <c r="A1216" s="281">
        <v>248719353</v>
      </c>
      <c r="B1216" s="147">
        <v>1185.7</v>
      </c>
    </row>
    <row r="1217" spans="1:2" x14ac:dyDescent="0.25">
      <c r="A1217" s="281">
        <v>248719361</v>
      </c>
      <c r="B1217" s="147">
        <v>1001</v>
      </c>
    </row>
    <row r="1218" spans="1:2" x14ac:dyDescent="0.25">
      <c r="A1218" s="281">
        <v>248900334</v>
      </c>
      <c r="B1218" s="147">
        <v>1693.6</v>
      </c>
    </row>
    <row r="1219" spans="1:2" x14ac:dyDescent="0.25">
      <c r="A1219" s="281">
        <v>248900383</v>
      </c>
      <c r="B1219" s="147">
        <v>3344</v>
      </c>
    </row>
    <row r="1220" spans="1:2" x14ac:dyDescent="0.25">
      <c r="A1220" s="281">
        <v>248900524</v>
      </c>
      <c r="B1220" s="147">
        <v>687.2</v>
      </c>
    </row>
    <row r="1221" spans="1:2" x14ac:dyDescent="0.25">
      <c r="A1221" s="281">
        <v>248900664</v>
      </c>
      <c r="B1221" s="147">
        <v>695.9</v>
      </c>
    </row>
    <row r="1222" spans="1:2" x14ac:dyDescent="0.25">
      <c r="A1222" s="281">
        <v>248900748</v>
      </c>
      <c r="B1222" s="147">
        <v>668.2</v>
      </c>
    </row>
    <row r="1223" spans="1:2" x14ac:dyDescent="0.25">
      <c r="A1223" s="281">
        <v>248900896</v>
      </c>
      <c r="B1223" s="147">
        <v>822.1</v>
      </c>
    </row>
    <row r="1224" spans="1:2" x14ac:dyDescent="0.25">
      <c r="A1224" s="281">
        <v>248900938</v>
      </c>
      <c r="B1224" s="147">
        <v>1385</v>
      </c>
    </row>
    <row r="1225" spans="1:2" x14ac:dyDescent="0.25">
      <c r="A1225" s="281">
        <v>249000241</v>
      </c>
      <c r="B1225" s="147">
        <v>834.9</v>
      </c>
    </row>
    <row r="1226" spans="1:2" x14ac:dyDescent="0.25">
      <c r="A1226" s="281">
        <v>249100074</v>
      </c>
      <c r="B1226" s="147">
        <v>918.6</v>
      </c>
    </row>
    <row r="1227" spans="1:2" x14ac:dyDescent="0.25">
      <c r="A1227" s="281">
        <v>249100157</v>
      </c>
      <c r="B1227" s="147">
        <v>888</v>
      </c>
    </row>
    <row r="1228" spans="1:2" x14ac:dyDescent="0.25">
      <c r="A1228" s="281">
        <v>249100546</v>
      </c>
      <c r="B1228" s="147">
        <v>1190.9000000000001</v>
      </c>
    </row>
    <row r="1229" spans="1:2" x14ac:dyDescent="0.25">
      <c r="A1229" s="281">
        <v>249100553</v>
      </c>
      <c r="B1229" s="147">
        <v>1047.2</v>
      </c>
    </row>
    <row r="1230" spans="1:2" x14ac:dyDescent="0.25">
      <c r="A1230" s="281">
        <v>249100595</v>
      </c>
      <c r="B1230" s="147">
        <v>1144</v>
      </c>
    </row>
    <row r="1231" spans="1:2" x14ac:dyDescent="0.25">
      <c r="A1231" s="281">
        <v>249500109</v>
      </c>
      <c r="B1231" s="147">
        <v>3739</v>
      </c>
    </row>
    <row r="1232" spans="1:2" x14ac:dyDescent="0.25">
      <c r="A1232" s="281">
        <v>249500430</v>
      </c>
      <c r="B1232" s="147">
        <v>895</v>
      </c>
    </row>
    <row r="1233" spans="1:11" x14ac:dyDescent="0.25">
      <c r="A1233" s="281">
        <v>249500455</v>
      </c>
      <c r="B1233" s="147">
        <v>1036.8</v>
      </c>
    </row>
    <row r="1234" spans="1:11" x14ac:dyDescent="0.25">
      <c r="A1234" s="281">
        <v>249500489</v>
      </c>
      <c r="B1234" s="147">
        <v>1625.7</v>
      </c>
    </row>
    <row r="1235" spans="1:11" x14ac:dyDescent="0.25">
      <c r="A1235" s="282">
        <v>249500513</v>
      </c>
      <c r="B1235" s="149">
        <v>1080.7</v>
      </c>
    </row>
    <row r="1236" spans="1:11" ht="40.5" customHeight="1" x14ac:dyDescent="0.25">
      <c r="A1236" s="310" t="s">
        <v>89</v>
      </c>
      <c r="B1236" s="311"/>
      <c r="C1236" s="67"/>
      <c r="D1236" s="67"/>
      <c r="E1236" s="67"/>
      <c r="F1236" s="67"/>
      <c r="G1236" s="67"/>
      <c r="H1236" s="67"/>
      <c r="I1236" s="67"/>
      <c r="J1236" s="67"/>
      <c r="K1236" s="67"/>
    </row>
    <row r="1237" spans="1:11" ht="37.5" customHeight="1" x14ac:dyDescent="0.25">
      <c r="A1237" s="293" t="s">
        <v>90</v>
      </c>
      <c r="B1237" s="290"/>
      <c r="C1237" s="67"/>
      <c r="D1237" s="67"/>
      <c r="E1237" s="67"/>
      <c r="F1237" s="67"/>
      <c r="G1237" s="67"/>
      <c r="H1237" s="67"/>
      <c r="I1237" s="67"/>
      <c r="J1237" s="67"/>
      <c r="K1237" s="67"/>
    </row>
    <row r="1238" spans="1:11" x14ac:dyDescent="0.25">
      <c r="A1238" s="283" t="s">
        <v>62</v>
      </c>
      <c r="B1238" s="67"/>
      <c r="C1238" s="67"/>
      <c r="D1238" s="67"/>
      <c r="E1238" s="67"/>
      <c r="F1238" s="67"/>
      <c r="G1238" s="67"/>
      <c r="H1238" s="67"/>
      <c r="I1238" s="67"/>
      <c r="J1238" s="67"/>
      <c r="K1238" s="67"/>
    </row>
    <row r="1239" spans="1:11" ht="32.25" customHeight="1" x14ac:dyDescent="0.25">
      <c r="A1239" s="312" t="s">
        <v>173</v>
      </c>
      <c r="B1239" s="290"/>
      <c r="C1239" s="67"/>
      <c r="D1239" s="67"/>
      <c r="E1239" s="67"/>
      <c r="F1239" s="67"/>
      <c r="G1239" s="67"/>
      <c r="H1239" s="97"/>
      <c r="I1239" s="67"/>
      <c r="J1239" s="67"/>
      <c r="K1239" s="67"/>
    </row>
    <row r="1240" spans="1:11" x14ac:dyDescent="0.25">
      <c r="A1240" s="284"/>
      <c r="B1240" s="67"/>
      <c r="C1240" s="67"/>
      <c r="D1240" s="67"/>
      <c r="E1240" s="67"/>
      <c r="F1240" s="67"/>
      <c r="G1240" s="67"/>
      <c r="H1240" s="67"/>
      <c r="I1240" s="67"/>
      <c r="J1240" s="67"/>
      <c r="K1240" s="67"/>
    </row>
    <row r="1241" spans="1:11" x14ac:dyDescent="0.25">
      <c r="A1241" s="285"/>
      <c r="B1241" s="60"/>
      <c r="C1241" s="31"/>
      <c r="D1241" s="18"/>
      <c r="E1241" s="18"/>
      <c r="F1241" s="18"/>
      <c r="G1241" s="18"/>
      <c r="H1241" s="18"/>
    </row>
  </sheetData>
  <mergeCells count="4">
    <mergeCell ref="A1236:B1236"/>
    <mergeCell ref="A1237:B1237"/>
    <mergeCell ref="A1239:B1239"/>
    <mergeCell ref="A2:B2"/>
  </mergeCells>
  <pageMargins left="0.7" right="0.7" top="0.75" bottom="0.75" header="0.3" footer="0.3"/>
  <pageSetup paperSize="9" scale="9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3"/>
  <sheetViews>
    <sheetView workbookViewId="0"/>
  </sheetViews>
  <sheetFormatPr baseColWidth="10" defaultRowHeight="15" x14ac:dyDescent="0.25"/>
  <cols>
    <col min="1" max="1" width="38.42578125" customWidth="1"/>
    <col min="3" max="3" width="14.7109375" customWidth="1"/>
    <col min="12" max="12" width="17.5703125" customWidth="1"/>
  </cols>
  <sheetData>
    <row r="1" spans="1:14" x14ac:dyDescent="0.25">
      <c r="A1" s="143" t="s">
        <v>149</v>
      </c>
      <c r="H1" s="56"/>
      <c r="I1" s="60"/>
      <c r="J1" s="60"/>
      <c r="K1" s="60"/>
      <c r="L1" s="60"/>
      <c r="M1" s="56"/>
      <c r="N1" s="56"/>
    </row>
    <row r="2" spans="1:14" x14ac:dyDescent="0.25">
      <c r="A2" s="56"/>
      <c r="J2" s="304" t="s">
        <v>153</v>
      </c>
      <c r="K2" s="292"/>
      <c r="L2" s="292"/>
    </row>
    <row r="3" spans="1:14" x14ac:dyDescent="0.25">
      <c r="A3" s="40"/>
      <c r="B3" s="137" t="s">
        <v>7</v>
      </c>
      <c r="C3" s="138" t="s">
        <v>150</v>
      </c>
      <c r="D3" s="138" t="s">
        <v>65</v>
      </c>
      <c r="E3" s="138" t="s">
        <v>66</v>
      </c>
      <c r="F3" s="138" t="s">
        <v>67</v>
      </c>
      <c r="G3" s="138" t="s">
        <v>68</v>
      </c>
      <c r="H3" s="138" t="s">
        <v>69</v>
      </c>
      <c r="I3" s="138" t="s">
        <v>70</v>
      </c>
      <c r="J3" s="138" t="s">
        <v>71</v>
      </c>
      <c r="K3" s="138" t="s">
        <v>72</v>
      </c>
      <c r="L3" s="138" t="s">
        <v>73</v>
      </c>
    </row>
    <row r="4" spans="1:14" x14ac:dyDescent="0.25">
      <c r="A4" s="40" t="s">
        <v>0</v>
      </c>
      <c r="B4" s="150">
        <v>24.1</v>
      </c>
      <c r="C4" s="151">
        <v>22.3</v>
      </c>
      <c r="D4" s="151">
        <v>25.2</v>
      </c>
      <c r="E4" s="151">
        <v>25</v>
      </c>
      <c r="F4" s="151">
        <v>25.6</v>
      </c>
      <c r="G4" s="151">
        <v>26.8</v>
      </c>
      <c r="H4" s="151">
        <v>27.4</v>
      </c>
      <c r="I4" s="151">
        <v>27.6</v>
      </c>
      <c r="J4" s="151">
        <v>27.5</v>
      </c>
      <c r="K4" s="151">
        <v>26.7</v>
      </c>
      <c r="L4" s="151">
        <v>18.8</v>
      </c>
    </row>
    <row r="5" spans="1:14" x14ac:dyDescent="0.25">
      <c r="A5" s="133" t="s">
        <v>5</v>
      </c>
      <c r="B5" s="150">
        <v>12.5</v>
      </c>
      <c r="C5" s="151">
        <v>4.9000000000000004</v>
      </c>
      <c r="D5" s="151">
        <v>5.9</v>
      </c>
      <c r="E5" s="151">
        <v>7.2</v>
      </c>
      <c r="F5" s="151">
        <v>8.6</v>
      </c>
      <c r="G5" s="151">
        <v>9.3000000000000007</v>
      </c>
      <c r="H5" s="151">
        <v>10</v>
      </c>
      <c r="I5" s="151">
        <v>11.1</v>
      </c>
      <c r="J5" s="151">
        <v>12.4</v>
      </c>
      <c r="K5" s="151">
        <v>14.2</v>
      </c>
      <c r="L5" s="151">
        <v>16.600000000000001</v>
      </c>
    </row>
    <row r="6" spans="1:14" x14ac:dyDescent="0.25">
      <c r="A6" s="133" t="s">
        <v>14</v>
      </c>
      <c r="B6" s="150">
        <v>3</v>
      </c>
      <c r="C6" s="151">
        <v>0.4</v>
      </c>
      <c r="D6" s="151">
        <v>0.4</v>
      </c>
      <c r="E6" s="151">
        <v>0.3</v>
      </c>
      <c r="F6" s="151">
        <v>0.2</v>
      </c>
      <c r="G6" s="151">
        <v>0.2</v>
      </c>
      <c r="H6" s="151">
        <v>0.2</v>
      </c>
      <c r="I6" s="151">
        <v>0.4</v>
      </c>
      <c r="J6" s="151">
        <v>0.6</v>
      </c>
      <c r="K6" s="151">
        <v>0.7</v>
      </c>
      <c r="L6" s="151">
        <v>8.6</v>
      </c>
    </row>
    <row r="7" spans="1:14" x14ac:dyDescent="0.25">
      <c r="A7" s="212" t="s">
        <v>8</v>
      </c>
      <c r="B7" s="223">
        <v>16.399999999999999</v>
      </c>
      <c r="C7" s="224">
        <v>40.4</v>
      </c>
      <c r="D7" s="224">
        <v>29.3</v>
      </c>
      <c r="E7" s="224">
        <v>24.3</v>
      </c>
      <c r="F7" s="224">
        <v>21.5</v>
      </c>
      <c r="G7" s="224">
        <v>20</v>
      </c>
      <c r="H7" s="224">
        <v>18.5</v>
      </c>
      <c r="I7" s="224">
        <v>17.2</v>
      </c>
      <c r="J7" s="224">
        <v>16.2</v>
      </c>
      <c r="K7" s="224">
        <v>15.6</v>
      </c>
      <c r="L7" s="224">
        <v>9.6</v>
      </c>
    </row>
    <row r="8" spans="1:14" x14ac:dyDescent="0.25">
      <c r="A8" s="152" t="s">
        <v>136</v>
      </c>
      <c r="B8" s="150">
        <v>11</v>
      </c>
      <c r="C8" s="151">
        <v>29.3</v>
      </c>
      <c r="D8" s="151">
        <v>20.9</v>
      </c>
      <c r="E8" s="151">
        <v>16.899999999999999</v>
      </c>
      <c r="F8" s="151">
        <v>14.9</v>
      </c>
      <c r="G8" s="151">
        <v>13.7</v>
      </c>
      <c r="H8" s="151">
        <v>12.5</v>
      </c>
      <c r="I8" s="151">
        <v>11.4</v>
      </c>
      <c r="J8" s="151">
        <v>10.6</v>
      </c>
      <c r="K8" s="151">
        <v>10.3</v>
      </c>
      <c r="L8" s="151">
        <v>5.9</v>
      </c>
    </row>
    <row r="9" spans="1:14" x14ac:dyDescent="0.25">
      <c r="A9" s="133" t="s">
        <v>6</v>
      </c>
      <c r="B9" s="150">
        <v>5.4</v>
      </c>
      <c r="C9" s="151">
        <v>11.1</v>
      </c>
      <c r="D9" s="151">
        <v>8.4</v>
      </c>
      <c r="E9" s="151">
        <v>7.3</v>
      </c>
      <c r="F9" s="151">
        <v>6.6</v>
      </c>
      <c r="G9" s="151">
        <v>6.3</v>
      </c>
      <c r="H9" s="151">
        <v>6</v>
      </c>
      <c r="I9" s="151">
        <v>5.8</v>
      </c>
      <c r="J9" s="151">
        <v>5.5</v>
      </c>
      <c r="K9" s="151">
        <v>5.3</v>
      </c>
      <c r="L9" s="151">
        <v>3.6</v>
      </c>
    </row>
    <row r="10" spans="1:14" x14ac:dyDescent="0.25">
      <c r="A10" s="135" t="s">
        <v>7</v>
      </c>
      <c r="B10" s="153">
        <v>56.1</v>
      </c>
      <c r="C10" s="153">
        <v>68.099999999999994</v>
      </c>
      <c r="D10" s="153">
        <v>60.7</v>
      </c>
      <c r="E10" s="153">
        <v>56.8</v>
      </c>
      <c r="F10" s="153">
        <v>56</v>
      </c>
      <c r="G10" s="153">
        <v>56.3</v>
      </c>
      <c r="H10" s="153">
        <v>56.1</v>
      </c>
      <c r="I10" s="153">
        <v>56.3</v>
      </c>
      <c r="J10" s="153">
        <v>56.7</v>
      </c>
      <c r="K10" s="153">
        <v>57.3</v>
      </c>
      <c r="L10" s="153">
        <v>53.6</v>
      </c>
    </row>
    <row r="11" spans="1:14" ht="24" customHeight="1" x14ac:dyDescent="0.25">
      <c r="A11" s="314" t="s">
        <v>175</v>
      </c>
      <c r="B11" s="315"/>
      <c r="C11" s="315"/>
      <c r="D11" s="315"/>
      <c r="E11" s="315"/>
      <c r="F11" s="315"/>
      <c r="G11" s="288"/>
      <c r="H11" s="288"/>
      <c r="I11" s="288"/>
      <c r="J11" s="288"/>
      <c r="K11" s="288"/>
      <c r="L11" s="288"/>
    </row>
    <row r="12" spans="1:14" x14ac:dyDescent="0.25">
      <c r="A12" s="19" t="s">
        <v>62</v>
      </c>
      <c r="B12" s="18"/>
      <c r="C12" s="18"/>
      <c r="D12" s="18"/>
      <c r="E12" s="18"/>
      <c r="F12" s="18"/>
    </row>
    <row r="13" spans="1:14" x14ac:dyDescent="0.25">
      <c r="A13" s="20" t="s">
        <v>20</v>
      </c>
      <c r="B13" s="18"/>
      <c r="C13" s="18"/>
      <c r="D13" s="18"/>
      <c r="E13" s="18"/>
      <c r="F13" s="18"/>
    </row>
  </sheetData>
  <mergeCells count="2">
    <mergeCell ref="A11:L11"/>
    <mergeCell ref="J2:L2"/>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3"/>
  <sheetViews>
    <sheetView zoomScaleNormal="100" workbookViewId="0"/>
  </sheetViews>
  <sheetFormatPr baseColWidth="10" defaultRowHeight="15" x14ac:dyDescent="0.25"/>
  <cols>
    <col min="1" max="1" width="41.85546875" customWidth="1"/>
    <col min="3" max="3" width="16.85546875" customWidth="1"/>
    <col min="12" max="12" width="16.85546875" customWidth="1"/>
  </cols>
  <sheetData>
    <row r="1" spans="1:12" x14ac:dyDescent="0.25">
      <c r="A1" s="28" t="s">
        <v>151</v>
      </c>
    </row>
    <row r="2" spans="1:12" x14ac:dyDescent="0.25">
      <c r="A2" s="56"/>
      <c r="J2" s="304" t="s">
        <v>135</v>
      </c>
      <c r="K2" s="292"/>
      <c r="L2" s="292"/>
    </row>
    <row r="3" spans="1:12" x14ac:dyDescent="0.25">
      <c r="A3" s="40"/>
      <c r="B3" s="137" t="s">
        <v>7</v>
      </c>
      <c r="C3" s="138" t="s">
        <v>150</v>
      </c>
      <c r="D3" s="138" t="s">
        <v>65</v>
      </c>
      <c r="E3" s="138" t="s">
        <v>66</v>
      </c>
      <c r="F3" s="138" t="s">
        <v>67</v>
      </c>
      <c r="G3" s="138" t="s">
        <v>68</v>
      </c>
      <c r="H3" s="138" t="s">
        <v>69</v>
      </c>
      <c r="I3" s="138" t="s">
        <v>70</v>
      </c>
      <c r="J3" s="138" t="s">
        <v>71</v>
      </c>
      <c r="K3" s="138" t="s">
        <v>72</v>
      </c>
      <c r="L3" s="138" t="s">
        <v>73</v>
      </c>
    </row>
    <row r="4" spans="1:12" x14ac:dyDescent="0.25">
      <c r="A4" s="160" t="s">
        <v>152</v>
      </c>
      <c r="B4" s="134">
        <v>42820</v>
      </c>
      <c r="C4" s="134">
        <v>10480</v>
      </c>
      <c r="D4" s="134">
        <v>15870</v>
      </c>
      <c r="E4" s="134">
        <v>21040</v>
      </c>
      <c r="F4" s="134">
        <v>25880</v>
      </c>
      <c r="G4" s="134">
        <v>31250</v>
      </c>
      <c r="H4" s="134">
        <v>36380</v>
      </c>
      <c r="I4" s="134">
        <v>42160</v>
      </c>
      <c r="J4" s="134">
        <v>49500</v>
      </c>
      <c r="K4" s="134">
        <v>60390</v>
      </c>
      <c r="L4" s="134">
        <v>133080</v>
      </c>
    </row>
    <row r="5" spans="1:12" x14ac:dyDescent="0.25">
      <c r="A5" s="157" t="s">
        <v>74</v>
      </c>
      <c r="B5" s="134">
        <v>42820</v>
      </c>
      <c r="C5" s="134">
        <v>28370</v>
      </c>
      <c r="D5" s="134">
        <v>31840</v>
      </c>
      <c r="E5" s="134">
        <v>33300</v>
      </c>
      <c r="F5" s="134">
        <v>34640</v>
      </c>
      <c r="G5" s="134">
        <v>36340</v>
      </c>
      <c r="H5" s="134">
        <v>38740</v>
      </c>
      <c r="I5" s="134">
        <v>41640</v>
      </c>
      <c r="J5" s="134">
        <v>44580</v>
      </c>
      <c r="K5" s="134">
        <v>50750</v>
      </c>
      <c r="L5" s="134">
        <v>87030</v>
      </c>
    </row>
    <row r="6" spans="1:12" x14ac:dyDescent="0.25">
      <c r="A6" s="157" t="s">
        <v>25</v>
      </c>
      <c r="B6" s="134">
        <v>29710</v>
      </c>
      <c r="C6" s="134">
        <v>11000</v>
      </c>
      <c r="D6" s="134">
        <v>15360</v>
      </c>
      <c r="E6" s="134">
        <v>18860</v>
      </c>
      <c r="F6" s="134">
        <v>21390</v>
      </c>
      <c r="G6" s="134">
        <v>23830</v>
      </c>
      <c r="H6" s="134">
        <v>26670</v>
      </c>
      <c r="I6" s="134">
        <v>29750</v>
      </c>
      <c r="J6" s="134">
        <v>33070</v>
      </c>
      <c r="K6" s="134">
        <v>39170</v>
      </c>
      <c r="L6" s="134">
        <v>76790</v>
      </c>
    </row>
    <row r="7" spans="1:12" x14ac:dyDescent="0.25">
      <c r="A7" s="157" t="s">
        <v>79</v>
      </c>
      <c r="B7" s="159">
        <v>37430</v>
      </c>
      <c r="C7" s="159">
        <v>7130</v>
      </c>
      <c r="D7" s="159">
        <v>13220</v>
      </c>
      <c r="E7" s="159">
        <v>18730</v>
      </c>
      <c r="F7" s="159">
        <v>23150</v>
      </c>
      <c r="G7" s="159">
        <v>27320</v>
      </c>
      <c r="H7" s="159">
        <v>31590</v>
      </c>
      <c r="I7" s="159">
        <v>36890</v>
      </c>
      <c r="J7" s="159">
        <v>42630</v>
      </c>
      <c r="K7" s="159">
        <v>52650</v>
      </c>
      <c r="L7" s="159">
        <v>119000</v>
      </c>
    </row>
    <row r="8" spans="1:12" ht="26.25" x14ac:dyDescent="0.25">
      <c r="A8" s="158" t="s">
        <v>32</v>
      </c>
      <c r="B8" s="136">
        <v>0</v>
      </c>
      <c r="C8" s="136">
        <v>17890</v>
      </c>
      <c r="D8" s="136">
        <v>15980</v>
      </c>
      <c r="E8" s="136">
        <v>12260</v>
      </c>
      <c r="F8" s="136">
        <v>8760</v>
      </c>
      <c r="G8" s="136">
        <v>5090</v>
      </c>
      <c r="H8" s="136">
        <v>2360</v>
      </c>
      <c r="I8" s="136">
        <v>-520</v>
      </c>
      <c r="J8" s="136">
        <v>-4920</v>
      </c>
      <c r="K8" s="136">
        <v>-9640</v>
      </c>
      <c r="L8" s="136">
        <v>-46060</v>
      </c>
    </row>
    <row r="9" spans="1:12" x14ac:dyDescent="0.25">
      <c r="A9" s="316" t="s">
        <v>91</v>
      </c>
      <c r="B9" s="288"/>
      <c r="C9" s="288"/>
      <c r="D9" s="288"/>
      <c r="E9" s="288"/>
      <c r="F9" s="288"/>
      <c r="G9" s="288"/>
      <c r="H9" s="288"/>
      <c r="I9" s="288"/>
      <c r="J9" s="288"/>
      <c r="K9" s="288"/>
      <c r="L9" s="288"/>
    </row>
    <row r="10" spans="1:12" ht="28.5" customHeight="1" x14ac:dyDescent="0.25">
      <c r="A10" s="317" t="s">
        <v>92</v>
      </c>
      <c r="B10" s="290"/>
      <c r="C10" s="290"/>
      <c r="D10" s="290"/>
      <c r="E10" s="290"/>
      <c r="F10" s="290"/>
      <c r="G10" s="290"/>
      <c r="H10" s="290"/>
      <c r="I10" s="290"/>
      <c r="J10" s="290"/>
      <c r="K10" s="290"/>
      <c r="L10" s="290"/>
    </row>
    <row r="11" spans="1:12" ht="43.5" customHeight="1" x14ac:dyDescent="0.25">
      <c r="A11" s="293" t="s">
        <v>176</v>
      </c>
      <c r="B11" s="290"/>
      <c r="C11" s="290"/>
      <c r="D11" s="290"/>
      <c r="E11" s="290"/>
      <c r="F11" s="290"/>
      <c r="G11" s="290"/>
      <c r="H11" s="290"/>
      <c r="I11" s="290"/>
      <c r="J11" s="290"/>
      <c r="K11" s="290"/>
      <c r="L11" s="290"/>
    </row>
    <row r="12" spans="1:12" x14ac:dyDescent="0.25">
      <c r="A12" s="68" t="s">
        <v>62</v>
      </c>
      <c r="B12" s="67"/>
      <c r="C12" s="67"/>
      <c r="D12" s="67"/>
      <c r="E12" s="67"/>
      <c r="F12" s="67"/>
      <c r="G12" s="67"/>
      <c r="H12" s="67"/>
      <c r="I12" s="67"/>
      <c r="J12" s="67"/>
    </row>
    <row r="13" spans="1:12" x14ac:dyDescent="0.25">
      <c r="A13" s="69" t="s">
        <v>20</v>
      </c>
      <c r="B13" s="67"/>
      <c r="C13" s="67"/>
      <c r="D13" s="67"/>
      <c r="E13" s="67"/>
      <c r="F13" s="67"/>
      <c r="G13" s="67"/>
      <c r="H13" s="67"/>
      <c r="I13" s="67"/>
      <c r="J13" s="67"/>
    </row>
  </sheetData>
  <mergeCells count="4">
    <mergeCell ref="A9:L9"/>
    <mergeCell ref="A10:L10"/>
    <mergeCell ref="A11:L11"/>
    <mergeCell ref="J2:L2"/>
  </mergeCells>
  <pageMargins left="0.7" right="0.7" top="0.75" bottom="0.75" header="0.3" footer="0.3"/>
  <pageSetup paperSize="9" scale="7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workbookViewId="0"/>
  </sheetViews>
  <sheetFormatPr baseColWidth="10" defaultRowHeight="15" x14ac:dyDescent="0.25"/>
  <cols>
    <col min="1" max="1" width="38.5703125" customWidth="1"/>
    <col min="2" max="2" width="11.42578125" customWidth="1"/>
    <col min="5" max="5" width="15.140625" customWidth="1"/>
    <col min="6" max="6" width="12.5703125" customWidth="1"/>
    <col min="8" max="8" width="13.140625" customWidth="1"/>
  </cols>
  <sheetData>
    <row r="1" spans="1:12" x14ac:dyDescent="0.25">
      <c r="A1" s="97" t="s">
        <v>154</v>
      </c>
      <c r="B1" s="31"/>
      <c r="C1" s="31"/>
      <c r="D1" s="31"/>
      <c r="E1" s="31"/>
      <c r="F1" s="31"/>
      <c r="G1" s="31"/>
      <c r="H1" s="56"/>
      <c r="I1" s="56"/>
    </row>
    <row r="2" spans="1:12" x14ac:dyDescent="0.25">
      <c r="A2" s="31"/>
      <c r="B2" s="31"/>
      <c r="C2" s="31"/>
      <c r="D2" s="31"/>
      <c r="E2" s="31"/>
      <c r="F2" s="31"/>
      <c r="G2" s="31"/>
      <c r="H2" s="56"/>
      <c r="I2" s="56"/>
    </row>
    <row r="3" spans="1:12" ht="39" customHeight="1" x14ac:dyDescent="0.25">
      <c r="A3" s="324"/>
      <c r="B3" s="321" t="s">
        <v>93</v>
      </c>
      <c r="C3" s="318" t="s">
        <v>107</v>
      </c>
      <c r="D3" s="319"/>
      <c r="E3" s="320"/>
      <c r="F3" s="321" t="s">
        <v>15</v>
      </c>
      <c r="G3" s="321" t="s">
        <v>94</v>
      </c>
    </row>
    <row r="4" spans="1:12" ht="58.5" customHeight="1" x14ac:dyDescent="0.25">
      <c r="A4" s="325"/>
      <c r="B4" s="323"/>
      <c r="C4" s="82" t="s">
        <v>18</v>
      </c>
      <c r="D4" s="83" t="s">
        <v>80</v>
      </c>
      <c r="E4" s="84" t="s">
        <v>78</v>
      </c>
      <c r="F4" s="322"/>
      <c r="G4" s="322"/>
      <c r="H4" s="80"/>
      <c r="I4" s="56"/>
      <c r="J4" s="56"/>
      <c r="K4" s="56"/>
      <c r="L4" s="56"/>
    </row>
    <row r="5" spans="1:12" x14ac:dyDescent="0.25">
      <c r="A5" s="161" t="s">
        <v>17</v>
      </c>
      <c r="B5" s="162">
        <v>100</v>
      </c>
      <c r="C5" s="163">
        <v>0.38100000000000001</v>
      </c>
      <c r="D5" s="164"/>
      <c r="E5" s="165"/>
      <c r="F5" s="166">
        <v>1.84</v>
      </c>
      <c r="G5" s="166">
        <v>7.57</v>
      </c>
      <c r="H5" s="56"/>
      <c r="I5" s="56"/>
      <c r="J5" s="56"/>
      <c r="K5" s="56"/>
      <c r="L5" s="56"/>
    </row>
    <row r="6" spans="1:12" x14ac:dyDescent="0.25">
      <c r="A6" s="167" t="s">
        <v>13</v>
      </c>
      <c r="B6" s="52">
        <v>-16.399999999999999</v>
      </c>
      <c r="C6" s="38">
        <v>0.188</v>
      </c>
      <c r="D6" s="50">
        <v>-3.2000000000000001E-2</v>
      </c>
      <c r="E6" s="54">
        <v>-15.4</v>
      </c>
      <c r="F6" s="50">
        <v>0.66</v>
      </c>
      <c r="G6" s="168">
        <v>2.58</v>
      </c>
      <c r="H6" s="56"/>
      <c r="I6" s="56"/>
      <c r="J6" s="56"/>
      <c r="K6" s="56"/>
      <c r="L6" s="56"/>
    </row>
    <row r="7" spans="1:12" x14ac:dyDescent="0.25">
      <c r="A7" s="169" t="s">
        <v>5</v>
      </c>
      <c r="B7" s="52">
        <v>-15.5</v>
      </c>
      <c r="C7" s="38">
        <v>0.58899999999999997</v>
      </c>
      <c r="D7" s="50">
        <v>3.2000000000000001E-2</v>
      </c>
      <c r="E7" s="54">
        <v>15.6</v>
      </c>
      <c r="F7" s="170">
        <v>6.27</v>
      </c>
      <c r="G7" s="168">
        <v>28.16</v>
      </c>
      <c r="H7" s="56"/>
      <c r="I7" s="81"/>
      <c r="J7" s="56"/>
      <c r="K7" s="56"/>
      <c r="L7" s="56"/>
    </row>
    <row r="8" spans="1:12" x14ac:dyDescent="0.25">
      <c r="A8" s="169" t="s">
        <v>0</v>
      </c>
      <c r="B8" s="52">
        <v>-24.1</v>
      </c>
      <c r="C8" s="38">
        <v>0.34</v>
      </c>
      <c r="D8" s="50">
        <v>-0.01</v>
      </c>
      <c r="E8" s="54">
        <v>-4.8</v>
      </c>
      <c r="F8" s="170">
        <v>1.38</v>
      </c>
      <c r="G8" s="168">
        <v>6.69</v>
      </c>
      <c r="H8" s="56"/>
      <c r="I8" s="56"/>
      <c r="J8" s="56"/>
      <c r="K8" s="56"/>
      <c r="L8" s="56"/>
    </row>
    <row r="9" spans="1:12" x14ac:dyDescent="0.25">
      <c r="A9" s="171" t="s">
        <v>11</v>
      </c>
      <c r="B9" s="172">
        <v>-13</v>
      </c>
      <c r="C9" s="38">
        <v>0.376</v>
      </c>
      <c r="D9" s="50">
        <v>-1E-3</v>
      </c>
      <c r="E9" s="53">
        <v>-0.3</v>
      </c>
      <c r="F9" s="168">
        <v>1.66</v>
      </c>
      <c r="G9" s="168">
        <v>10.48</v>
      </c>
      <c r="H9" s="56"/>
      <c r="I9" s="56"/>
      <c r="J9" s="56"/>
      <c r="K9" s="56"/>
      <c r="L9" s="56"/>
    </row>
    <row r="10" spans="1:12" x14ac:dyDescent="0.25">
      <c r="A10" s="173" t="s">
        <v>95</v>
      </c>
      <c r="B10" s="162">
        <v>45.1</v>
      </c>
      <c r="C10" s="163">
        <v>0.41599999999999998</v>
      </c>
      <c r="D10" s="164"/>
      <c r="E10" s="174"/>
      <c r="F10" s="175"/>
      <c r="G10" s="166">
        <v>10.16</v>
      </c>
      <c r="H10" s="56"/>
      <c r="I10" s="56"/>
      <c r="J10" s="56"/>
      <c r="K10" s="56"/>
      <c r="L10" s="56"/>
    </row>
    <row r="11" spans="1:12" x14ac:dyDescent="0.25">
      <c r="A11" s="167" t="s">
        <v>9</v>
      </c>
      <c r="B11" s="52">
        <v>25.5</v>
      </c>
      <c r="C11" s="38">
        <v>0.11</v>
      </c>
      <c r="D11" s="50">
        <v>6.9000000000000006E-2</v>
      </c>
      <c r="E11" s="54">
        <v>33.4</v>
      </c>
      <c r="F11" s="50">
        <v>0.44</v>
      </c>
      <c r="G11" s="168">
        <v>1.82</v>
      </c>
      <c r="H11" s="56"/>
      <c r="I11" s="56"/>
      <c r="J11" s="56"/>
      <c r="K11" s="56"/>
      <c r="L11" s="56"/>
    </row>
    <row r="12" spans="1:12" x14ac:dyDescent="0.25">
      <c r="A12" s="176" t="s">
        <v>2</v>
      </c>
      <c r="B12" s="52">
        <v>16.899999999999999</v>
      </c>
      <c r="C12" s="43">
        <v>0.25700000000000001</v>
      </c>
      <c r="D12" s="51">
        <v>2.1000000000000001E-2</v>
      </c>
      <c r="E12" s="54">
        <v>10.1</v>
      </c>
      <c r="F12" s="177">
        <v>0.79</v>
      </c>
      <c r="G12" s="177">
        <v>5.12</v>
      </c>
    </row>
    <row r="13" spans="1:12" ht="15" customHeight="1" x14ac:dyDescent="0.25">
      <c r="A13" s="176" t="s">
        <v>60</v>
      </c>
      <c r="B13" s="52">
        <v>8.6</v>
      </c>
      <c r="C13" s="43">
        <v>-0.17699999999999999</v>
      </c>
      <c r="D13" s="51">
        <v>4.8000000000000001E-2</v>
      </c>
      <c r="E13" s="54">
        <v>23.3</v>
      </c>
      <c r="F13" s="51">
        <v>0.15</v>
      </c>
      <c r="G13" s="177">
        <v>0.46</v>
      </c>
    </row>
    <row r="14" spans="1:12" x14ac:dyDescent="0.25">
      <c r="A14" s="173" t="s">
        <v>155</v>
      </c>
      <c r="B14" s="162">
        <v>69.400000000000006</v>
      </c>
      <c r="C14" s="163">
        <v>0.29299999999999998</v>
      </c>
      <c r="D14" s="164"/>
      <c r="E14" s="174"/>
      <c r="F14" s="166">
        <v>1.17</v>
      </c>
      <c r="G14" s="166">
        <v>4.54</v>
      </c>
    </row>
    <row r="15" spans="1:12" x14ac:dyDescent="0.25">
      <c r="A15" s="167" t="s">
        <v>10</v>
      </c>
      <c r="B15" s="52">
        <v>20.6</v>
      </c>
      <c r="C15" s="38">
        <v>-0.124</v>
      </c>
      <c r="D15" s="50">
        <v>0.104</v>
      </c>
      <c r="E15" s="54">
        <v>50.4</v>
      </c>
      <c r="F15" s="50">
        <v>0.15</v>
      </c>
      <c r="G15" s="168">
        <v>0.56999999999999995</v>
      </c>
    </row>
    <row r="16" spans="1:12" x14ac:dyDescent="0.25">
      <c r="A16" s="169" t="s">
        <v>156</v>
      </c>
      <c r="B16" s="52">
        <v>7.8</v>
      </c>
      <c r="C16" s="38">
        <v>-3.2000000000000001E-2</v>
      </c>
      <c r="D16" s="50">
        <v>3.2000000000000001E-2</v>
      </c>
      <c r="E16" s="54">
        <v>15.6</v>
      </c>
      <c r="F16" s="170">
        <v>0.22</v>
      </c>
      <c r="G16" s="168">
        <v>7.04</v>
      </c>
    </row>
    <row r="17" spans="1:7" x14ac:dyDescent="0.25">
      <c r="A17" s="167" t="s">
        <v>12</v>
      </c>
      <c r="B17" s="52">
        <v>2.2999999999999998</v>
      </c>
      <c r="C17" s="38">
        <v>-5.0000000000000001E-3</v>
      </c>
      <c r="D17" s="50">
        <v>8.9999999999999993E-3</v>
      </c>
      <c r="E17" s="54">
        <v>4.3</v>
      </c>
      <c r="F17" s="168">
        <v>0.25</v>
      </c>
      <c r="G17" s="168">
        <v>1</v>
      </c>
    </row>
    <row r="18" spans="1:7" x14ac:dyDescent="0.25">
      <c r="A18" s="178" t="s">
        <v>16</v>
      </c>
      <c r="B18" s="179">
        <v>100</v>
      </c>
      <c r="C18" s="180">
        <v>0.17499999999999999</v>
      </c>
      <c r="D18" s="181">
        <v>0.20599999999999999</v>
      </c>
      <c r="E18" s="182">
        <v>100</v>
      </c>
      <c r="F18" s="183">
        <v>0.79</v>
      </c>
      <c r="G18" s="183">
        <v>2.36</v>
      </c>
    </row>
    <row r="19" spans="1:7" x14ac:dyDescent="0.25">
      <c r="A19" s="67" t="s">
        <v>169</v>
      </c>
      <c r="B19" s="68"/>
      <c r="C19" s="68"/>
      <c r="D19" s="57"/>
      <c r="E19" s="68"/>
      <c r="F19" s="57"/>
      <c r="G19" s="68"/>
    </row>
    <row r="20" spans="1:7" x14ac:dyDescent="0.25">
      <c r="A20" s="67" t="s">
        <v>96</v>
      </c>
      <c r="B20" s="68"/>
      <c r="C20" s="68"/>
      <c r="D20" s="68"/>
      <c r="E20" s="68"/>
      <c r="F20" s="57"/>
      <c r="G20" s="68"/>
    </row>
    <row r="21" spans="1:7" ht="42" customHeight="1" x14ac:dyDescent="0.25">
      <c r="A21" s="293" t="s">
        <v>41</v>
      </c>
      <c r="B21" s="303"/>
      <c r="C21" s="303"/>
      <c r="D21" s="303"/>
      <c r="E21" s="303"/>
      <c r="F21" s="303"/>
      <c r="G21" s="303"/>
    </row>
    <row r="22" spans="1:7" ht="44.25" customHeight="1" x14ac:dyDescent="0.25">
      <c r="A22" s="302" t="s">
        <v>170</v>
      </c>
      <c r="B22" s="303"/>
      <c r="C22" s="303"/>
      <c r="D22" s="303"/>
      <c r="E22" s="303"/>
      <c r="F22" s="303"/>
      <c r="G22" s="303"/>
    </row>
    <row r="23" spans="1:7" x14ac:dyDescent="0.25">
      <c r="A23" s="19" t="s">
        <v>82</v>
      </c>
      <c r="B23" s="18"/>
      <c r="C23" s="18"/>
      <c r="D23" s="18"/>
      <c r="E23" s="18"/>
      <c r="F23" s="18"/>
      <c r="G23" s="18"/>
    </row>
    <row r="24" spans="1:7" x14ac:dyDescent="0.25">
      <c r="A24" s="20" t="s">
        <v>19</v>
      </c>
      <c r="B24" s="18"/>
      <c r="C24" s="18"/>
      <c r="D24" s="18"/>
      <c r="E24" s="18"/>
      <c r="F24" s="18"/>
      <c r="G24" s="18"/>
    </row>
    <row r="26" spans="1:7" x14ac:dyDescent="0.25">
      <c r="A26" s="9"/>
    </row>
    <row r="27" spans="1:7" x14ac:dyDescent="0.25">
      <c r="A27" s="10"/>
    </row>
  </sheetData>
  <mergeCells count="7">
    <mergeCell ref="A22:G22"/>
    <mergeCell ref="C3:E3"/>
    <mergeCell ref="F3:F4"/>
    <mergeCell ref="G3:G4"/>
    <mergeCell ref="A21:G21"/>
    <mergeCell ref="B3:B4"/>
    <mergeCell ref="A3:A4"/>
  </mergeCells>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2"/>
  <sheetViews>
    <sheetView zoomScaleNormal="100" zoomScalePageLayoutView="70" workbookViewId="0"/>
  </sheetViews>
  <sheetFormatPr baseColWidth="10" defaultColWidth="9.140625" defaultRowHeight="15" x14ac:dyDescent="0.25"/>
  <cols>
    <col min="1" max="1" width="50.85546875" customWidth="1"/>
    <col min="2" max="2" width="11.5703125" style="7" bestFit="1" customWidth="1"/>
    <col min="3" max="3" width="10.140625" style="5" bestFit="1" customWidth="1"/>
    <col min="4" max="4" width="11.5703125" style="5" bestFit="1" customWidth="1"/>
    <col min="5" max="7" width="12" style="5" bestFit="1" customWidth="1"/>
    <col min="8" max="988" width="10.7109375" customWidth="1"/>
  </cols>
  <sheetData>
    <row r="1" spans="1:10" x14ac:dyDescent="0.25">
      <c r="A1" s="28" t="s">
        <v>157</v>
      </c>
    </row>
    <row r="2" spans="1:10" x14ac:dyDescent="0.25">
      <c r="A2" s="184"/>
      <c r="B2" s="21"/>
      <c r="C2" s="30"/>
      <c r="D2" s="30"/>
      <c r="E2" s="304" t="s">
        <v>135</v>
      </c>
      <c r="F2" s="292"/>
      <c r="G2" s="292"/>
    </row>
    <row r="3" spans="1:10" ht="38.25" x14ac:dyDescent="0.25">
      <c r="A3" s="106"/>
      <c r="B3" s="186" t="s">
        <v>7</v>
      </c>
      <c r="C3" s="187" t="s">
        <v>99</v>
      </c>
      <c r="D3" s="187" t="s">
        <v>100</v>
      </c>
      <c r="E3" s="187" t="s">
        <v>101</v>
      </c>
      <c r="F3" s="187" t="s">
        <v>102</v>
      </c>
      <c r="G3" s="187" t="s">
        <v>75</v>
      </c>
      <c r="H3" s="85"/>
      <c r="I3" s="39"/>
      <c r="J3" s="57"/>
    </row>
    <row r="4" spans="1:10" x14ac:dyDescent="0.25">
      <c r="A4" s="133" t="s">
        <v>29</v>
      </c>
      <c r="B4" s="185">
        <v>3680</v>
      </c>
      <c r="C4" s="185">
        <v>6380</v>
      </c>
      <c r="D4" s="185">
        <v>4240</v>
      </c>
      <c r="E4" s="185">
        <v>3120</v>
      </c>
      <c r="F4" s="185">
        <v>2490</v>
      </c>
      <c r="G4" s="185">
        <v>2960</v>
      </c>
      <c r="H4" s="3"/>
    </row>
    <row r="5" spans="1:10" x14ac:dyDescent="0.25">
      <c r="A5" s="133" t="s">
        <v>2</v>
      </c>
      <c r="B5" s="185">
        <v>7220</v>
      </c>
      <c r="C5" s="185">
        <v>2070</v>
      </c>
      <c r="D5" s="185">
        <v>5090</v>
      </c>
      <c r="E5" s="185">
        <v>7500</v>
      </c>
      <c r="F5" s="185">
        <v>9540</v>
      </c>
      <c r="G5" s="185">
        <v>13280</v>
      </c>
      <c r="H5" s="3"/>
    </row>
    <row r="6" spans="1:10" x14ac:dyDescent="0.25">
      <c r="A6" s="133" t="s">
        <v>97</v>
      </c>
      <c r="B6" s="185">
        <v>12930</v>
      </c>
      <c r="C6" s="185">
        <v>17940</v>
      </c>
      <c r="D6" s="185">
        <v>11830</v>
      </c>
      <c r="E6" s="185">
        <v>10960</v>
      </c>
      <c r="F6" s="185">
        <v>11300</v>
      </c>
      <c r="G6" s="185">
        <v>18310</v>
      </c>
      <c r="H6" s="3"/>
    </row>
    <row r="7" spans="1:10" x14ac:dyDescent="0.25">
      <c r="A7" s="133" t="s">
        <v>0</v>
      </c>
      <c r="B7" s="185">
        <v>-10340</v>
      </c>
      <c r="C7" s="185">
        <v>-2630</v>
      </c>
      <c r="D7" s="185">
        <v>-5550</v>
      </c>
      <c r="E7" s="185">
        <v>-9720</v>
      </c>
      <c r="F7" s="185">
        <v>-14450</v>
      </c>
      <c r="G7" s="185">
        <v>-24930</v>
      </c>
      <c r="H7" s="3"/>
    </row>
    <row r="8" spans="1:10" x14ac:dyDescent="0.25">
      <c r="A8" s="133" t="s">
        <v>30</v>
      </c>
      <c r="B8" s="185">
        <v>-6650</v>
      </c>
      <c r="C8" s="185">
        <v>-660</v>
      </c>
      <c r="D8" s="185">
        <v>-1720</v>
      </c>
      <c r="E8" s="185">
        <v>-3660</v>
      </c>
      <c r="F8" s="185">
        <v>-7210</v>
      </c>
      <c r="G8" s="185">
        <v>-33700</v>
      </c>
      <c r="H8" s="3"/>
    </row>
    <row r="9" spans="1:10" x14ac:dyDescent="0.25">
      <c r="A9" s="133" t="s">
        <v>8</v>
      </c>
      <c r="B9" s="185">
        <v>-7020</v>
      </c>
      <c r="C9" s="185">
        <v>-4300</v>
      </c>
      <c r="D9" s="185">
        <v>-5180</v>
      </c>
      <c r="E9" s="185">
        <v>-6790</v>
      </c>
      <c r="F9" s="185">
        <v>-8420</v>
      </c>
      <c r="G9" s="185">
        <v>-12680</v>
      </c>
      <c r="H9" s="3"/>
    </row>
    <row r="10" spans="1:10" x14ac:dyDescent="0.25">
      <c r="A10" s="225" t="s">
        <v>42</v>
      </c>
      <c r="B10" s="226">
        <v>42820</v>
      </c>
      <c r="C10" s="226">
        <v>12170</v>
      </c>
      <c r="D10" s="226">
        <v>21620</v>
      </c>
      <c r="E10" s="226">
        <v>35630</v>
      </c>
      <c r="F10" s="226">
        <v>52150</v>
      </c>
      <c r="G10" s="226">
        <v>134830</v>
      </c>
      <c r="H10" s="3"/>
    </row>
    <row r="11" spans="1:10" x14ac:dyDescent="0.25">
      <c r="A11" s="227" t="s">
        <v>43</v>
      </c>
      <c r="B11" s="228">
        <v>42820</v>
      </c>
      <c r="C11" s="228">
        <v>31770</v>
      </c>
      <c r="D11" s="228">
        <v>30780</v>
      </c>
      <c r="E11" s="228">
        <v>37330</v>
      </c>
      <c r="F11" s="228">
        <v>45500</v>
      </c>
      <c r="G11" s="228">
        <v>96770</v>
      </c>
      <c r="H11" s="3"/>
    </row>
    <row r="12" spans="1:10" ht="17.25" customHeight="1" x14ac:dyDescent="0.25">
      <c r="A12" s="326" t="s">
        <v>98</v>
      </c>
      <c r="B12" s="311"/>
      <c r="C12" s="311"/>
      <c r="D12" s="311"/>
      <c r="E12" s="311"/>
      <c r="F12" s="311"/>
      <c r="G12" s="311"/>
      <c r="H12" s="56"/>
      <c r="I12" s="56"/>
      <c r="J12" s="56"/>
    </row>
    <row r="13" spans="1:10" ht="57" customHeight="1" x14ac:dyDescent="0.25">
      <c r="A13" s="327" t="s">
        <v>221</v>
      </c>
      <c r="B13" s="328"/>
      <c r="C13" s="328"/>
      <c r="D13" s="328"/>
      <c r="E13" s="328"/>
      <c r="F13" s="328"/>
      <c r="G13" s="328"/>
      <c r="H13" s="56"/>
      <c r="I13" s="56"/>
      <c r="J13" s="56"/>
    </row>
    <row r="14" spans="1:10" x14ac:dyDescent="0.25">
      <c r="A14" s="19" t="s">
        <v>82</v>
      </c>
      <c r="B14" s="18"/>
      <c r="C14" s="7"/>
      <c r="F14" s="4"/>
      <c r="G14" s="4"/>
    </row>
    <row r="15" spans="1:10" x14ac:dyDescent="0.25">
      <c r="A15" s="20" t="s">
        <v>20</v>
      </c>
      <c r="B15" s="18"/>
      <c r="C15" s="7"/>
      <c r="F15" s="4"/>
      <c r="G15" s="4"/>
    </row>
    <row r="16" spans="1:10" x14ac:dyDescent="0.25">
      <c r="B16" s="4"/>
      <c r="C16" s="4"/>
      <c r="D16" s="4"/>
      <c r="E16" s="4"/>
      <c r="F16" s="4"/>
      <c r="G16" s="4"/>
    </row>
    <row r="17" spans="2:7" x14ac:dyDescent="0.25">
      <c r="B17" s="4"/>
      <c r="C17" s="4"/>
      <c r="D17" s="4"/>
      <c r="E17" s="4"/>
      <c r="F17" s="4"/>
      <c r="G17" s="4"/>
    </row>
    <row r="18" spans="2:7" x14ac:dyDescent="0.25">
      <c r="B18" s="4"/>
      <c r="C18" s="4"/>
      <c r="D18" s="4"/>
      <c r="E18" s="4"/>
      <c r="F18" s="4"/>
      <c r="G18" s="4"/>
    </row>
    <row r="19" spans="2:7" x14ac:dyDescent="0.25">
      <c r="B19" s="4"/>
      <c r="C19" s="4"/>
      <c r="D19" s="4"/>
      <c r="E19" s="4"/>
      <c r="F19" s="4"/>
      <c r="G19" s="4"/>
    </row>
    <row r="20" spans="2:7" x14ac:dyDescent="0.25">
      <c r="B20" s="4"/>
      <c r="C20" s="4"/>
      <c r="D20" s="4"/>
      <c r="E20" s="4"/>
      <c r="F20" s="4"/>
      <c r="G20" s="4"/>
    </row>
    <row r="21" spans="2:7" x14ac:dyDescent="0.25">
      <c r="B21" s="4"/>
      <c r="C21" s="4"/>
      <c r="D21" s="4"/>
      <c r="E21" s="4"/>
      <c r="F21" s="4"/>
      <c r="G21" s="4"/>
    </row>
    <row r="22" spans="2:7" x14ac:dyDescent="0.25">
      <c r="B22" s="4"/>
      <c r="C22" s="4"/>
      <c r="D22" s="4"/>
      <c r="E22" s="4"/>
      <c r="F22" s="4"/>
      <c r="G22" s="4"/>
    </row>
  </sheetData>
  <mergeCells count="3">
    <mergeCell ref="A12:G12"/>
    <mergeCell ref="A13:G13"/>
    <mergeCell ref="E2:G2"/>
  </mergeCells>
  <pageMargins left="0.7" right="0.7" top="0.75" bottom="0.75" header="0.3" footer="0.3"/>
  <pageSetup paperSize="9" scale="91"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7"/>
  <sheetViews>
    <sheetView workbookViewId="0"/>
  </sheetViews>
  <sheetFormatPr baseColWidth="10" defaultRowHeight="15" x14ac:dyDescent="0.25"/>
  <cols>
    <col min="1" max="1" width="32.7109375" customWidth="1"/>
    <col min="2" max="2" width="17.85546875" customWidth="1"/>
    <col min="3" max="3" width="15.85546875" customWidth="1"/>
    <col min="4" max="4" width="14.5703125" customWidth="1"/>
    <col min="5" max="11" width="11.5703125" bestFit="1" customWidth="1"/>
    <col min="12" max="12" width="12.140625" bestFit="1" customWidth="1"/>
    <col min="13" max="13" width="15.5703125" customWidth="1"/>
  </cols>
  <sheetData>
    <row r="1" spans="1:16" x14ac:dyDescent="0.25">
      <c r="A1" s="143" t="s">
        <v>162</v>
      </c>
      <c r="B1" s="188"/>
      <c r="C1" s="18"/>
      <c r="D1" s="18"/>
      <c r="E1" s="18"/>
      <c r="F1" s="144"/>
      <c r="G1" s="144"/>
      <c r="H1" s="33"/>
      <c r="I1" s="11"/>
      <c r="J1" s="11"/>
      <c r="K1" s="11"/>
      <c r="L1" s="11"/>
      <c r="M1" s="11"/>
      <c r="N1" s="11"/>
      <c r="O1" s="11"/>
    </row>
    <row r="2" spans="1:16" x14ac:dyDescent="0.25">
      <c r="A2" s="8"/>
      <c r="B2" s="8"/>
      <c r="C2" s="11"/>
      <c r="D2" s="11"/>
      <c r="E2" s="11"/>
      <c r="F2" s="11"/>
      <c r="G2" s="11"/>
      <c r="H2" s="11"/>
      <c r="I2" s="11"/>
      <c r="J2" s="11"/>
      <c r="K2" s="11"/>
      <c r="L2" s="11"/>
      <c r="M2" s="11"/>
      <c r="N2" s="11"/>
      <c r="O2" s="11"/>
    </row>
    <row r="3" spans="1:16" ht="16.5" customHeight="1" x14ac:dyDescent="0.25">
      <c r="A3" s="40"/>
      <c r="B3" s="321" t="s">
        <v>214</v>
      </c>
      <c r="C3" s="330" t="s">
        <v>180</v>
      </c>
      <c r="D3" s="332" t="s">
        <v>28</v>
      </c>
      <c r="E3" s="332"/>
      <c r="F3" s="332"/>
      <c r="G3" s="332"/>
      <c r="H3" s="332"/>
      <c r="I3" s="332"/>
      <c r="J3" s="332"/>
      <c r="K3" s="332"/>
      <c r="L3" s="332"/>
      <c r="M3" s="333"/>
      <c r="N3" s="11"/>
      <c r="O3" s="11"/>
    </row>
    <row r="4" spans="1:16" x14ac:dyDescent="0.25">
      <c r="A4" s="41"/>
      <c r="B4" s="329"/>
      <c r="C4" s="331" t="s">
        <v>23</v>
      </c>
      <c r="D4" s="93" t="str">
        <f>'Figure 2'!D4</f>
        <v>Inférieur à D1</v>
      </c>
      <c r="E4" s="94" t="str">
        <f>'Figure 2'!E4</f>
        <v>D1 à D2</v>
      </c>
      <c r="F4" s="94" t="str">
        <f>'Figure 2'!F4</f>
        <v>D2 à D3</v>
      </c>
      <c r="G4" s="94" t="str">
        <f>'Figure 2'!G4</f>
        <v>D3 à D4</v>
      </c>
      <c r="H4" s="94" t="str">
        <f>'Figure 2'!H4</f>
        <v>D4 à D5</v>
      </c>
      <c r="I4" s="94" t="str">
        <f>'Figure 2'!I4</f>
        <v>D5 à D6</v>
      </c>
      <c r="J4" s="94" t="str">
        <f>'Figure 2'!J4</f>
        <v>D6 à D7</v>
      </c>
      <c r="K4" s="94" t="str">
        <f>'Figure 2'!K4</f>
        <v>D7 à D8</v>
      </c>
      <c r="L4" s="94" t="str">
        <f>'Figure 2'!L4</f>
        <v>D8 à D9</v>
      </c>
      <c r="M4" s="244" t="str">
        <f>'Figure 2'!M4</f>
        <v>Supérieur à D9</v>
      </c>
      <c r="N4" s="11"/>
      <c r="O4" s="11"/>
      <c r="P4" s="11"/>
    </row>
    <row r="5" spans="1:16" x14ac:dyDescent="0.25">
      <c r="A5" s="235" t="s">
        <v>27</v>
      </c>
      <c r="B5" s="239">
        <v>100</v>
      </c>
      <c r="C5" s="236">
        <v>42820</v>
      </c>
      <c r="D5" s="245">
        <v>10480</v>
      </c>
      <c r="E5" s="245">
        <v>15870</v>
      </c>
      <c r="F5" s="245">
        <v>21040</v>
      </c>
      <c r="G5" s="245">
        <v>25880</v>
      </c>
      <c r="H5" s="245">
        <v>31250</v>
      </c>
      <c r="I5" s="245">
        <v>36380</v>
      </c>
      <c r="J5" s="245">
        <v>42160</v>
      </c>
      <c r="K5" s="245">
        <v>49500</v>
      </c>
      <c r="L5" s="245">
        <v>60390</v>
      </c>
      <c r="M5" s="245">
        <v>133080</v>
      </c>
      <c r="N5" s="11"/>
    </row>
    <row r="6" spans="1:16" x14ac:dyDescent="0.25">
      <c r="A6" s="199" t="s">
        <v>177</v>
      </c>
      <c r="B6" s="240">
        <v>63.2</v>
      </c>
      <c r="C6" s="229">
        <v>27060</v>
      </c>
      <c r="D6" s="246">
        <v>4810</v>
      </c>
      <c r="E6" s="246">
        <v>9520</v>
      </c>
      <c r="F6" s="246">
        <v>13470</v>
      </c>
      <c r="G6" s="246">
        <v>17530</v>
      </c>
      <c r="H6" s="246">
        <v>21730</v>
      </c>
      <c r="I6" s="246">
        <v>25700</v>
      </c>
      <c r="J6" s="246">
        <v>29970</v>
      </c>
      <c r="K6" s="246">
        <v>35430</v>
      </c>
      <c r="L6" s="246">
        <v>41960</v>
      </c>
      <c r="M6" s="246">
        <v>69160</v>
      </c>
      <c r="N6" s="11"/>
    </row>
    <row r="7" spans="1:16" x14ac:dyDescent="0.25">
      <c r="A7" s="42" t="s">
        <v>165</v>
      </c>
      <c r="B7" s="240">
        <v>21.6</v>
      </c>
      <c r="C7" s="229">
        <v>9250</v>
      </c>
      <c r="D7" s="246">
        <v>1760</v>
      </c>
      <c r="E7" s="246">
        <v>2060</v>
      </c>
      <c r="F7" s="246">
        <v>2840</v>
      </c>
      <c r="G7" s="246">
        <v>3150</v>
      </c>
      <c r="H7" s="246">
        <v>3670</v>
      </c>
      <c r="I7" s="246">
        <v>4380</v>
      </c>
      <c r="J7" s="246">
        <v>5400</v>
      </c>
      <c r="K7" s="246">
        <v>6600</v>
      </c>
      <c r="L7" s="246">
        <v>9620</v>
      </c>
      <c r="M7" s="246">
        <v>52310</v>
      </c>
      <c r="N7" s="11"/>
    </row>
    <row r="8" spans="1:16" ht="27" x14ac:dyDescent="0.25">
      <c r="A8" s="230" t="s">
        <v>34</v>
      </c>
      <c r="B8" s="241">
        <v>-16.399999999999999</v>
      </c>
      <c r="C8" s="231">
        <v>-7020</v>
      </c>
      <c r="D8" s="247">
        <v>-4240</v>
      </c>
      <c r="E8" s="247">
        <v>-4650</v>
      </c>
      <c r="F8" s="247">
        <v>-5100</v>
      </c>
      <c r="G8" s="247">
        <v>-5580</v>
      </c>
      <c r="H8" s="247">
        <v>-6260</v>
      </c>
      <c r="I8" s="247">
        <v>-6740</v>
      </c>
      <c r="J8" s="247">
        <v>-7270</v>
      </c>
      <c r="K8" s="247">
        <v>-8010</v>
      </c>
      <c r="L8" s="247">
        <v>-9420</v>
      </c>
      <c r="M8" s="247">
        <v>-12730</v>
      </c>
      <c r="N8" s="11"/>
    </row>
    <row r="9" spans="1:16" x14ac:dyDescent="0.25">
      <c r="A9" s="199" t="s">
        <v>51</v>
      </c>
      <c r="B9" s="240">
        <v>3.1</v>
      </c>
      <c r="C9" s="229">
        <v>-1340</v>
      </c>
      <c r="D9" s="246">
        <v>-350</v>
      </c>
      <c r="E9" s="246">
        <v>-470</v>
      </c>
      <c r="F9" s="246">
        <v>-660</v>
      </c>
      <c r="G9" s="246">
        <v>-790</v>
      </c>
      <c r="H9" s="246">
        <v>-1020</v>
      </c>
      <c r="I9" s="246">
        <v>-1210</v>
      </c>
      <c r="J9" s="246">
        <v>-1440</v>
      </c>
      <c r="K9" s="246">
        <v>-1700</v>
      </c>
      <c r="L9" s="246">
        <v>-2150</v>
      </c>
      <c r="M9" s="246">
        <v>-3590</v>
      </c>
      <c r="N9" s="11"/>
    </row>
    <row r="10" spans="1:16" x14ac:dyDescent="0.25">
      <c r="A10" s="200" t="s">
        <v>53</v>
      </c>
      <c r="B10" s="240">
        <v>11</v>
      </c>
      <c r="C10" s="229">
        <v>-4690</v>
      </c>
      <c r="D10" s="246">
        <v>-3070</v>
      </c>
      <c r="E10" s="246">
        <v>-3320</v>
      </c>
      <c r="F10" s="246">
        <v>-3570</v>
      </c>
      <c r="G10" s="246">
        <v>-3860</v>
      </c>
      <c r="H10" s="246">
        <v>-4290</v>
      </c>
      <c r="I10" s="246">
        <v>-4550</v>
      </c>
      <c r="J10" s="246">
        <v>-4810</v>
      </c>
      <c r="K10" s="246">
        <v>-5270</v>
      </c>
      <c r="L10" s="246">
        <v>-6190</v>
      </c>
      <c r="M10" s="246">
        <v>-7910</v>
      </c>
      <c r="N10" s="11"/>
    </row>
    <row r="11" spans="1:16" ht="27" x14ac:dyDescent="0.25">
      <c r="A11" s="230" t="s">
        <v>35</v>
      </c>
      <c r="B11" s="241">
        <v>15.5</v>
      </c>
      <c r="C11" s="231">
        <v>-6650</v>
      </c>
      <c r="D11" s="247">
        <v>-570</v>
      </c>
      <c r="E11" s="247">
        <v>-990</v>
      </c>
      <c r="F11" s="247">
        <v>-1570</v>
      </c>
      <c r="G11" s="247">
        <v>-2280</v>
      </c>
      <c r="H11" s="247">
        <v>-2960</v>
      </c>
      <c r="I11" s="247">
        <v>-3710</v>
      </c>
      <c r="J11" s="247">
        <v>-4850</v>
      </c>
      <c r="K11" s="247">
        <v>-6460</v>
      </c>
      <c r="L11" s="247">
        <v>-9030</v>
      </c>
      <c r="M11" s="247">
        <v>-33590</v>
      </c>
      <c r="N11" s="11"/>
    </row>
    <row r="12" spans="1:16" x14ac:dyDescent="0.25">
      <c r="A12" s="201" t="s">
        <v>50</v>
      </c>
      <c r="B12" s="240">
        <v>6.3</v>
      </c>
      <c r="C12" s="229">
        <v>-2710</v>
      </c>
      <c r="D12" s="246">
        <v>-290</v>
      </c>
      <c r="E12" s="246">
        <v>-690</v>
      </c>
      <c r="F12" s="246">
        <v>-1130</v>
      </c>
      <c r="G12" s="246">
        <v>-1640</v>
      </c>
      <c r="H12" s="246">
        <v>-2080</v>
      </c>
      <c r="I12" s="246">
        <v>-2460</v>
      </c>
      <c r="J12" s="246">
        <v>-2880</v>
      </c>
      <c r="K12" s="246">
        <v>-3400</v>
      </c>
      <c r="L12" s="246">
        <v>-4250</v>
      </c>
      <c r="M12" s="246">
        <v>-8100</v>
      </c>
      <c r="N12" s="11"/>
    </row>
    <row r="13" spans="1:16" x14ac:dyDescent="0.25">
      <c r="A13" s="202" t="s">
        <v>178</v>
      </c>
      <c r="B13" s="240">
        <v>4.2</v>
      </c>
      <c r="C13" s="229">
        <v>-1790</v>
      </c>
      <c r="D13" s="246">
        <v>-70</v>
      </c>
      <c r="E13" s="246">
        <v>-30</v>
      </c>
      <c r="F13" s="246">
        <v>-40</v>
      </c>
      <c r="G13" s="246">
        <v>-130</v>
      </c>
      <c r="H13" s="246">
        <v>-270</v>
      </c>
      <c r="I13" s="246">
        <v>-530</v>
      </c>
      <c r="J13" s="246">
        <v>-1040</v>
      </c>
      <c r="K13" s="246">
        <v>-1800</v>
      </c>
      <c r="L13" s="246">
        <v>-3010</v>
      </c>
      <c r="M13" s="246">
        <v>-10850</v>
      </c>
      <c r="N13" s="11"/>
    </row>
    <row r="14" spans="1:16" x14ac:dyDescent="0.25">
      <c r="A14" s="202" t="s">
        <v>179</v>
      </c>
      <c r="B14" s="240">
        <v>3</v>
      </c>
      <c r="C14" s="229">
        <v>-1290</v>
      </c>
      <c r="D14" s="246">
        <v>-50</v>
      </c>
      <c r="E14" s="246">
        <v>-60</v>
      </c>
      <c r="F14" s="246">
        <v>-60</v>
      </c>
      <c r="G14" s="246">
        <v>-40</v>
      </c>
      <c r="H14" s="246">
        <v>-60</v>
      </c>
      <c r="I14" s="246">
        <v>-70</v>
      </c>
      <c r="J14" s="246">
        <v>-160</v>
      </c>
      <c r="K14" s="246">
        <v>-300</v>
      </c>
      <c r="L14" s="246">
        <v>-430</v>
      </c>
      <c r="M14" s="246">
        <v>-11500</v>
      </c>
      <c r="N14" s="11"/>
    </row>
    <row r="15" spans="1:16" x14ac:dyDescent="0.25">
      <c r="A15" s="232" t="s">
        <v>218</v>
      </c>
      <c r="B15" s="241">
        <v>24.1</v>
      </c>
      <c r="C15" s="231">
        <v>-10340</v>
      </c>
      <c r="D15" s="247">
        <v>-2340</v>
      </c>
      <c r="E15" s="247">
        <v>-4000</v>
      </c>
      <c r="F15" s="247">
        <v>-5270</v>
      </c>
      <c r="G15" s="247">
        <v>-6630</v>
      </c>
      <c r="H15" s="247">
        <v>-8380</v>
      </c>
      <c r="I15" s="247">
        <v>-9960</v>
      </c>
      <c r="J15" s="247">
        <v>-11620</v>
      </c>
      <c r="K15" s="247">
        <v>-13620</v>
      </c>
      <c r="L15" s="247">
        <v>-16130</v>
      </c>
      <c r="M15" s="247">
        <v>-24960</v>
      </c>
      <c r="N15" s="11"/>
    </row>
    <row r="16" spans="1:16" x14ac:dyDescent="0.25">
      <c r="A16" s="199" t="s">
        <v>49</v>
      </c>
      <c r="B16" s="240">
        <v>13</v>
      </c>
      <c r="C16" s="229">
        <v>-5590</v>
      </c>
      <c r="D16" s="246">
        <v>-590</v>
      </c>
      <c r="E16" s="246">
        <v>-1650</v>
      </c>
      <c r="F16" s="246">
        <v>-2520</v>
      </c>
      <c r="G16" s="246">
        <v>-3440</v>
      </c>
      <c r="H16" s="246">
        <v>-4540</v>
      </c>
      <c r="I16" s="246">
        <v>-5550</v>
      </c>
      <c r="J16" s="246">
        <v>-6580</v>
      </c>
      <c r="K16" s="246">
        <v>-7900</v>
      </c>
      <c r="L16" s="246">
        <v>-9290</v>
      </c>
      <c r="M16" s="246">
        <v>-13520</v>
      </c>
      <c r="N16" s="11"/>
    </row>
    <row r="17" spans="1:16" x14ac:dyDescent="0.25">
      <c r="A17" s="200" t="s">
        <v>217</v>
      </c>
      <c r="B17" s="240">
        <v>6.5</v>
      </c>
      <c r="C17" s="229">
        <v>-2790</v>
      </c>
      <c r="D17" s="246">
        <v>-260</v>
      </c>
      <c r="E17" s="246">
        <v>-750</v>
      </c>
      <c r="F17" s="246">
        <v>-1140</v>
      </c>
      <c r="G17" s="246">
        <v>-1550</v>
      </c>
      <c r="H17" s="246">
        <v>-2110</v>
      </c>
      <c r="I17" s="246">
        <v>-2570</v>
      </c>
      <c r="J17" s="246">
        <v>-3090</v>
      </c>
      <c r="K17" s="246">
        <v>-3720</v>
      </c>
      <c r="L17" s="246">
        <v>-4630</v>
      </c>
      <c r="M17" s="246">
        <v>-7910</v>
      </c>
      <c r="N17" s="11"/>
    </row>
    <row r="18" spans="1:16" x14ac:dyDescent="0.25">
      <c r="A18" s="232" t="s">
        <v>36</v>
      </c>
      <c r="B18" s="241">
        <v>25.5</v>
      </c>
      <c r="C18" s="231">
        <v>10900</v>
      </c>
      <c r="D18" s="247">
        <v>7460</v>
      </c>
      <c r="E18" s="247">
        <v>8960</v>
      </c>
      <c r="F18" s="247">
        <v>9640</v>
      </c>
      <c r="G18" s="247">
        <v>9920</v>
      </c>
      <c r="H18" s="247">
        <v>10140</v>
      </c>
      <c r="I18" s="247">
        <v>10700</v>
      </c>
      <c r="J18" s="247">
        <v>11350</v>
      </c>
      <c r="K18" s="247">
        <v>11710</v>
      </c>
      <c r="L18" s="247">
        <v>13460</v>
      </c>
      <c r="M18" s="247">
        <v>15440</v>
      </c>
      <c r="N18" s="11"/>
    </row>
    <row r="19" spans="1:16" x14ac:dyDescent="0.25">
      <c r="A19" s="199" t="s">
        <v>48</v>
      </c>
      <c r="B19" s="240">
        <v>16.899999999999999</v>
      </c>
      <c r="C19" s="229">
        <v>7220</v>
      </c>
      <c r="D19" s="246">
        <v>1280</v>
      </c>
      <c r="E19" s="246">
        <v>3480</v>
      </c>
      <c r="F19" s="246">
        <v>5190</v>
      </c>
      <c r="G19" s="246">
        <v>6210</v>
      </c>
      <c r="H19" s="246">
        <v>6840</v>
      </c>
      <c r="I19" s="246">
        <v>7490</v>
      </c>
      <c r="J19" s="246">
        <v>8600</v>
      </c>
      <c r="K19" s="246">
        <v>9090</v>
      </c>
      <c r="L19" s="246">
        <v>11070</v>
      </c>
      <c r="M19" s="246">
        <v>12620</v>
      </c>
      <c r="N19" s="11"/>
    </row>
    <row r="20" spans="1:16" ht="25.5" x14ac:dyDescent="0.25">
      <c r="A20" s="200" t="s">
        <v>54</v>
      </c>
      <c r="B20" s="240">
        <v>4.3</v>
      </c>
      <c r="C20" s="229">
        <v>1860</v>
      </c>
      <c r="D20" s="246">
        <v>1520</v>
      </c>
      <c r="E20" s="246">
        <v>1860</v>
      </c>
      <c r="F20" s="246">
        <v>1870</v>
      </c>
      <c r="G20" s="246">
        <v>1780</v>
      </c>
      <c r="H20" s="246">
        <v>1750</v>
      </c>
      <c r="I20" s="246">
        <v>1860</v>
      </c>
      <c r="J20" s="246">
        <v>1660</v>
      </c>
      <c r="K20" s="246">
        <v>1830</v>
      </c>
      <c r="L20" s="246">
        <v>1900</v>
      </c>
      <c r="M20" s="246">
        <v>2530</v>
      </c>
      <c r="N20" s="11"/>
    </row>
    <row r="21" spans="1:16" x14ac:dyDescent="0.25">
      <c r="A21" s="200" t="s">
        <v>61</v>
      </c>
      <c r="B21" s="240">
        <v>3.3</v>
      </c>
      <c r="C21" s="229">
        <v>1170</v>
      </c>
      <c r="D21" s="246">
        <v>3260</v>
      </c>
      <c r="E21" s="246">
        <v>2450</v>
      </c>
      <c r="F21" s="246">
        <v>1660</v>
      </c>
      <c r="G21" s="246">
        <v>1190</v>
      </c>
      <c r="H21" s="246">
        <v>920</v>
      </c>
      <c r="I21" s="246">
        <v>780</v>
      </c>
      <c r="J21" s="246">
        <v>630</v>
      </c>
      <c r="K21" s="246">
        <v>450</v>
      </c>
      <c r="L21" s="246">
        <v>290</v>
      </c>
      <c r="M21" s="246">
        <v>180</v>
      </c>
      <c r="N21" s="11"/>
    </row>
    <row r="22" spans="1:16" x14ac:dyDescent="0.25">
      <c r="A22" s="233" t="s">
        <v>76</v>
      </c>
      <c r="B22" s="242">
        <v>69.400000000000006</v>
      </c>
      <c r="C22" s="234">
        <v>29710</v>
      </c>
      <c r="D22" s="245">
        <v>11000</v>
      </c>
      <c r="E22" s="245">
        <v>15360</v>
      </c>
      <c r="F22" s="245">
        <v>18860</v>
      </c>
      <c r="G22" s="245">
        <v>21390</v>
      </c>
      <c r="H22" s="245">
        <v>23830</v>
      </c>
      <c r="I22" s="245">
        <v>26670</v>
      </c>
      <c r="J22" s="245">
        <v>29750</v>
      </c>
      <c r="K22" s="245">
        <v>33070</v>
      </c>
      <c r="L22" s="245">
        <v>39170</v>
      </c>
      <c r="M22" s="245">
        <v>76790</v>
      </c>
      <c r="N22" s="11"/>
    </row>
    <row r="23" spans="1:16" x14ac:dyDescent="0.25">
      <c r="A23" s="232" t="s">
        <v>37</v>
      </c>
      <c r="B23" s="241">
        <v>20.6</v>
      </c>
      <c r="C23" s="231">
        <v>8800</v>
      </c>
      <c r="D23" s="247">
        <v>12580</v>
      </c>
      <c r="E23" s="247">
        <v>11980</v>
      </c>
      <c r="F23" s="247">
        <v>10100</v>
      </c>
      <c r="G23" s="247">
        <v>8940</v>
      </c>
      <c r="H23" s="247">
        <v>8270</v>
      </c>
      <c r="I23" s="247">
        <v>7790</v>
      </c>
      <c r="J23" s="247">
        <v>7640</v>
      </c>
      <c r="K23" s="247">
        <v>7260</v>
      </c>
      <c r="L23" s="247">
        <v>7330</v>
      </c>
      <c r="M23" s="247">
        <v>6270</v>
      </c>
      <c r="N23" s="11"/>
      <c r="O23" s="11"/>
      <c r="P23" s="11"/>
    </row>
    <row r="24" spans="1:16" x14ac:dyDescent="0.25">
      <c r="A24" s="199" t="s">
        <v>45</v>
      </c>
      <c r="B24" s="240">
        <v>9.1999999999999993</v>
      </c>
      <c r="C24" s="229">
        <v>3950</v>
      </c>
      <c r="D24" s="246">
        <v>4090</v>
      </c>
      <c r="E24" s="246">
        <v>4990</v>
      </c>
      <c r="F24" s="246">
        <v>4390</v>
      </c>
      <c r="G24" s="246">
        <v>3930</v>
      </c>
      <c r="H24" s="246">
        <v>3730</v>
      </c>
      <c r="I24" s="246">
        <v>3540</v>
      </c>
      <c r="J24" s="246">
        <v>3710</v>
      </c>
      <c r="K24" s="246">
        <v>3700</v>
      </c>
      <c r="L24" s="246">
        <v>4260</v>
      </c>
      <c r="M24" s="246">
        <v>3160</v>
      </c>
      <c r="N24" s="11"/>
      <c r="O24" s="11"/>
      <c r="P24" s="11"/>
    </row>
    <row r="25" spans="1:16" x14ac:dyDescent="0.25">
      <c r="A25" s="200" t="s">
        <v>46</v>
      </c>
      <c r="B25" s="240">
        <v>5.3</v>
      </c>
      <c r="C25" s="229">
        <v>2260</v>
      </c>
      <c r="D25" s="246">
        <v>3510</v>
      </c>
      <c r="E25" s="246">
        <v>2860</v>
      </c>
      <c r="F25" s="246">
        <v>2530</v>
      </c>
      <c r="G25" s="246">
        <v>2330</v>
      </c>
      <c r="H25" s="246">
        <v>2190</v>
      </c>
      <c r="I25" s="246">
        <v>2010</v>
      </c>
      <c r="J25" s="246">
        <v>1840</v>
      </c>
      <c r="K25" s="246">
        <v>1850</v>
      </c>
      <c r="L25" s="246">
        <v>1700</v>
      </c>
      <c r="M25" s="246">
        <v>1880</v>
      </c>
      <c r="N25" s="11"/>
      <c r="O25" s="11"/>
      <c r="P25" s="11"/>
    </row>
    <row r="26" spans="1:16" x14ac:dyDescent="0.25">
      <c r="A26" s="200" t="s">
        <v>47</v>
      </c>
      <c r="B26" s="240">
        <v>4.0999999999999996</v>
      </c>
      <c r="C26" s="229">
        <v>1740</v>
      </c>
      <c r="D26" s="246">
        <v>4110</v>
      </c>
      <c r="E26" s="246">
        <v>3280</v>
      </c>
      <c r="F26" s="246">
        <v>2350</v>
      </c>
      <c r="G26" s="246">
        <v>1840</v>
      </c>
      <c r="H26" s="246">
        <v>1510</v>
      </c>
      <c r="I26" s="246">
        <v>1400</v>
      </c>
      <c r="J26" s="246">
        <v>1240</v>
      </c>
      <c r="K26" s="246">
        <v>870</v>
      </c>
      <c r="L26" s="246">
        <v>530</v>
      </c>
      <c r="M26" s="246">
        <v>390</v>
      </c>
      <c r="N26" s="11"/>
      <c r="O26" s="11"/>
      <c r="P26" s="11"/>
    </row>
    <row r="27" spans="1:16" x14ac:dyDescent="0.25">
      <c r="A27" s="232" t="s">
        <v>22</v>
      </c>
      <c r="B27" s="241">
        <v>9.6</v>
      </c>
      <c r="C27" s="231">
        <v>4130</v>
      </c>
      <c r="D27" s="247">
        <v>4290</v>
      </c>
      <c r="E27" s="247">
        <v>4080</v>
      </c>
      <c r="F27" s="247">
        <v>3950</v>
      </c>
      <c r="G27" s="247">
        <v>3940</v>
      </c>
      <c r="H27" s="247">
        <v>3910</v>
      </c>
      <c r="I27" s="247">
        <v>3980</v>
      </c>
      <c r="J27" s="247">
        <v>4010</v>
      </c>
      <c r="K27" s="247">
        <v>4110</v>
      </c>
      <c r="L27" s="247">
        <v>4250</v>
      </c>
      <c r="M27" s="247">
        <v>4740</v>
      </c>
      <c r="N27" s="11"/>
      <c r="O27" s="11"/>
      <c r="P27" s="11"/>
    </row>
    <row r="28" spans="1:16" ht="18" customHeight="1" x14ac:dyDescent="0.25">
      <c r="A28" s="237" t="s">
        <v>24</v>
      </c>
      <c r="B28" s="243">
        <v>100</v>
      </c>
      <c r="C28" s="238">
        <v>42820</v>
      </c>
      <c r="D28" s="248">
        <v>28370</v>
      </c>
      <c r="E28" s="248">
        <v>31840</v>
      </c>
      <c r="F28" s="248">
        <v>33300</v>
      </c>
      <c r="G28" s="248">
        <v>34640</v>
      </c>
      <c r="H28" s="248">
        <v>36340</v>
      </c>
      <c r="I28" s="248">
        <v>38740</v>
      </c>
      <c r="J28" s="248">
        <v>41640</v>
      </c>
      <c r="K28" s="248">
        <v>44580</v>
      </c>
      <c r="L28" s="248">
        <v>50750</v>
      </c>
      <c r="M28" s="248">
        <v>87030</v>
      </c>
      <c r="N28" s="11"/>
      <c r="O28" s="11"/>
      <c r="P28" s="11"/>
    </row>
    <row r="29" spans="1:16" x14ac:dyDescent="0.25">
      <c r="A29" s="25" t="s">
        <v>103</v>
      </c>
      <c r="B29" s="14"/>
      <c r="C29" s="15"/>
      <c r="D29" s="16"/>
      <c r="E29" s="16"/>
      <c r="F29" s="16"/>
      <c r="G29" s="16"/>
      <c r="H29" s="16"/>
      <c r="I29" s="16"/>
      <c r="J29" s="16"/>
      <c r="K29" s="16"/>
      <c r="L29" s="16"/>
      <c r="M29" s="11"/>
      <c r="N29" s="11"/>
      <c r="O29" s="11"/>
    </row>
    <row r="30" spans="1:16" x14ac:dyDescent="0.25">
      <c r="A30" s="31" t="s">
        <v>44</v>
      </c>
      <c r="B30" s="31"/>
      <c r="C30" s="18"/>
      <c r="D30" s="18"/>
      <c r="E30" s="18"/>
      <c r="F30" s="18"/>
      <c r="G30" s="18"/>
      <c r="H30" s="18"/>
      <c r="I30" s="18"/>
      <c r="J30" s="18"/>
      <c r="K30" s="18"/>
      <c r="L30" s="18"/>
      <c r="M30" s="18"/>
      <c r="N30" s="18"/>
      <c r="O30" s="18"/>
    </row>
    <row r="31" spans="1:16" ht="30.75" customHeight="1" x14ac:dyDescent="0.25">
      <c r="A31" s="334" t="s">
        <v>104</v>
      </c>
      <c r="B31" s="334"/>
      <c r="C31" s="334"/>
      <c r="D31" s="334"/>
      <c r="E31" s="334"/>
      <c r="F31" s="334"/>
      <c r="G31" s="334"/>
      <c r="H31" s="334"/>
      <c r="I31" s="334"/>
      <c r="J31" s="334"/>
      <c r="K31" s="334"/>
      <c r="L31" s="334"/>
      <c r="M31" s="334"/>
      <c r="N31" s="18"/>
      <c r="O31" s="18"/>
    </row>
    <row r="32" spans="1:16" x14ac:dyDescent="0.25">
      <c r="A32" s="34" t="s">
        <v>82</v>
      </c>
      <c r="B32" s="18"/>
      <c r="C32" s="18"/>
      <c r="D32" s="18"/>
      <c r="E32" s="18"/>
      <c r="F32" s="18"/>
      <c r="G32" s="18"/>
      <c r="H32" s="18"/>
      <c r="I32" s="18"/>
      <c r="J32" s="18"/>
      <c r="K32" s="18"/>
      <c r="L32" s="18"/>
      <c r="M32" s="18"/>
      <c r="N32" s="18"/>
      <c r="O32" s="18"/>
    </row>
    <row r="33" spans="1:15" x14ac:dyDescent="0.25">
      <c r="A33" s="65" t="s">
        <v>20</v>
      </c>
      <c r="B33" s="35"/>
      <c r="C33" s="35"/>
      <c r="D33" s="18"/>
      <c r="E33" s="18"/>
      <c r="F33" s="18"/>
      <c r="G33" s="18"/>
      <c r="H33" s="18"/>
      <c r="I33" s="18"/>
      <c r="J33" s="18"/>
      <c r="K33" s="18"/>
      <c r="L33" s="18"/>
      <c r="M33" s="18"/>
      <c r="N33" s="18"/>
      <c r="O33" s="18"/>
    </row>
    <row r="34" spans="1:15" x14ac:dyDescent="0.25">
      <c r="D34" s="11"/>
      <c r="E34" s="11"/>
      <c r="F34" s="11"/>
      <c r="G34" s="11"/>
      <c r="H34" s="11"/>
      <c r="I34" s="11"/>
      <c r="J34" s="11"/>
      <c r="K34" s="11"/>
      <c r="L34" s="11"/>
      <c r="M34" s="11"/>
    </row>
    <row r="35" spans="1:15" x14ac:dyDescent="0.25">
      <c r="A35" s="66"/>
      <c r="B35" s="9"/>
      <c r="C35" s="11"/>
      <c r="D35" s="11"/>
      <c r="E35" s="11"/>
      <c r="F35" s="11"/>
      <c r="G35" s="11"/>
      <c r="H35" s="11"/>
      <c r="I35" s="11"/>
      <c r="J35" s="11"/>
      <c r="K35" s="11"/>
      <c r="L35" s="11"/>
      <c r="M35" s="11"/>
      <c r="N35" s="11"/>
      <c r="O35" s="11"/>
    </row>
    <row r="36" spans="1:15" x14ac:dyDescent="0.25">
      <c r="A36" s="9"/>
      <c r="B36" s="9"/>
      <c r="C36" s="9"/>
      <c r="D36" s="11"/>
      <c r="E36" s="11"/>
      <c r="F36" s="11"/>
      <c r="G36" s="11"/>
      <c r="H36" s="11"/>
      <c r="I36" s="11"/>
      <c r="J36" s="11"/>
      <c r="K36" s="11"/>
      <c r="L36" s="11"/>
      <c r="M36" s="11"/>
    </row>
    <row r="37" spans="1:15" x14ac:dyDescent="0.25">
      <c r="A37" s="9"/>
      <c r="B37" s="9"/>
      <c r="C37" s="9"/>
      <c r="D37" s="11"/>
      <c r="E37" s="11"/>
      <c r="F37" s="11"/>
      <c r="G37" s="11"/>
      <c r="H37" s="11"/>
      <c r="I37" s="11"/>
      <c r="J37" s="11"/>
      <c r="K37" s="11"/>
      <c r="L37" s="11"/>
      <c r="M37" s="11"/>
    </row>
    <row r="38" spans="1:15" x14ac:dyDescent="0.25">
      <c r="D38" s="11"/>
      <c r="E38" s="11"/>
      <c r="F38" s="11"/>
      <c r="G38" s="11"/>
      <c r="H38" s="11"/>
      <c r="I38" s="11"/>
      <c r="J38" s="11"/>
      <c r="K38" s="11"/>
      <c r="L38" s="11"/>
      <c r="M38" s="11"/>
    </row>
    <row r="39" spans="1:15" x14ac:dyDescent="0.25">
      <c r="D39" s="11"/>
      <c r="E39" s="11"/>
      <c r="F39" s="11"/>
      <c r="G39" s="11"/>
      <c r="H39" s="11"/>
      <c r="I39" s="11"/>
      <c r="J39" s="11"/>
      <c r="K39" s="11"/>
      <c r="L39" s="11"/>
      <c r="M39" s="11"/>
    </row>
    <row r="40" spans="1:15" x14ac:dyDescent="0.25">
      <c r="D40" s="11"/>
      <c r="E40" s="11"/>
      <c r="F40" s="11"/>
      <c r="G40" s="11"/>
      <c r="H40" s="11"/>
      <c r="I40" s="11"/>
      <c r="J40" s="11"/>
      <c r="K40" s="11"/>
      <c r="L40" s="11"/>
      <c r="M40" s="11"/>
    </row>
    <row r="41" spans="1:15" x14ac:dyDescent="0.25">
      <c r="D41" s="11"/>
      <c r="E41" s="11"/>
      <c r="F41" s="11"/>
      <c r="G41" s="11"/>
      <c r="H41" s="11"/>
      <c r="I41" s="11"/>
      <c r="J41" s="11"/>
      <c r="K41" s="11"/>
      <c r="L41" s="11"/>
      <c r="M41" s="11"/>
    </row>
    <row r="42" spans="1:15" x14ac:dyDescent="0.25">
      <c r="D42" s="11"/>
      <c r="E42" s="11"/>
      <c r="F42" s="11"/>
      <c r="G42" s="11"/>
      <c r="H42" s="11"/>
      <c r="I42" s="11"/>
      <c r="J42" s="11"/>
      <c r="K42" s="11"/>
      <c r="L42" s="11"/>
      <c r="M42" s="11"/>
    </row>
    <row r="43" spans="1:15" x14ac:dyDescent="0.25">
      <c r="D43" s="11"/>
      <c r="E43" s="11"/>
      <c r="F43" s="11"/>
      <c r="G43" s="11"/>
      <c r="H43" s="11"/>
      <c r="I43" s="11"/>
      <c r="J43" s="11"/>
      <c r="K43" s="11"/>
      <c r="L43" s="11"/>
      <c r="M43" s="11"/>
    </row>
    <row r="44" spans="1:15" x14ac:dyDescent="0.25">
      <c r="D44" s="11"/>
      <c r="E44" s="11"/>
      <c r="F44" s="11"/>
      <c r="G44" s="11"/>
      <c r="H44" s="11"/>
      <c r="I44" s="11"/>
      <c r="J44" s="11"/>
      <c r="K44" s="11"/>
      <c r="L44" s="11"/>
      <c r="M44" s="11"/>
    </row>
    <row r="45" spans="1:15" x14ac:dyDescent="0.25">
      <c r="D45" s="11"/>
      <c r="E45" s="11"/>
      <c r="F45" s="11"/>
      <c r="G45" s="11"/>
      <c r="H45" s="11"/>
      <c r="I45" s="11"/>
      <c r="J45" s="11"/>
      <c r="K45" s="11"/>
      <c r="L45" s="11"/>
      <c r="M45" s="11"/>
    </row>
    <row r="46" spans="1:15" x14ac:dyDescent="0.25">
      <c r="D46" s="11"/>
      <c r="E46" s="11"/>
      <c r="F46" s="11"/>
      <c r="G46" s="11"/>
      <c r="H46" s="11"/>
      <c r="I46" s="11"/>
      <c r="J46" s="11"/>
      <c r="K46" s="11"/>
      <c r="L46" s="11"/>
      <c r="M46" s="11"/>
    </row>
    <row r="47" spans="1:15" x14ac:dyDescent="0.25">
      <c r="D47" s="11"/>
      <c r="E47" s="11"/>
      <c r="F47" s="11"/>
      <c r="G47" s="11"/>
      <c r="H47" s="11"/>
      <c r="I47" s="11"/>
      <c r="J47" s="11"/>
      <c r="K47" s="11"/>
      <c r="L47" s="11"/>
      <c r="M47" s="11"/>
    </row>
    <row r="48" spans="1:15" x14ac:dyDescent="0.25">
      <c r="D48" s="11"/>
      <c r="E48" s="11"/>
      <c r="F48" s="11"/>
      <c r="G48" s="11"/>
      <c r="H48" s="11"/>
      <c r="I48" s="11"/>
      <c r="J48" s="11"/>
      <c r="K48" s="11"/>
      <c r="L48" s="11"/>
      <c r="M48" s="11"/>
    </row>
    <row r="49" spans="4:13" x14ac:dyDescent="0.25">
      <c r="D49" s="11"/>
      <c r="E49" s="11"/>
      <c r="F49" s="11"/>
      <c r="G49" s="11"/>
      <c r="H49" s="11"/>
      <c r="I49" s="11"/>
      <c r="J49" s="11"/>
      <c r="K49" s="11"/>
      <c r="L49" s="11"/>
      <c r="M49" s="11"/>
    </row>
    <row r="50" spans="4:13" x14ac:dyDescent="0.25">
      <c r="D50" s="11"/>
      <c r="E50" s="11"/>
      <c r="F50" s="11"/>
      <c r="G50" s="11"/>
      <c r="H50" s="11"/>
      <c r="I50" s="11"/>
      <c r="J50" s="11"/>
      <c r="K50" s="11"/>
      <c r="L50" s="11"/>
      <c r="M50" s="11"/>
    </row>
    <row r="51" spans="4:13" x14ac:dyDescent="0.25">
      <c r="D51" s="11"/>
      <c r="E51" s="11"/>
      <c r="F51" s="11"/>
      <c r="G51" s="11"/>
      <c r="H51" s="11"/>
      <c r="I51" s="11"/>
      <c r="J51" s="11"/>
      <c r="K51" s="11"/>
      <c r="L51" s="11"/>
      <c r="M51" s="11"/>
    </row>
    <row r="52" spans="4:13" x14ac:dyDescent="0.25">
      <c r="D52" s="11"/>
      <c r="E52" s="11"/>
      <c r="F52" s="11"/>
      <c r="G52" s="11"/>
      <c r="H52" s="11"/>
      <c r="I52" s="11"/>
      <c r="J52" s="11"/>
      <c r="K52" s="11"/>
      <c r="L52" s="11"/>
      <c r="M52" s="11"/>
    </row>
    <row r="53" spans="4:13" x14ac:dyDescent="0.25">
      <c r="D53" s="11"/>
      <c r="E53" s="11"/>
      <c r="F53" s="11"/>
      <c r="G53" s="11"/>
      <c r="H53" s="11"/>
      <c r="I53" s="11"/>
      <c r="J53" s="11"/>
      <c r="K53" s="11"/>
      <c r="L53" s="11"/>
      <c r="M53" s="11"/>
    </row>
    <row r="54" spans="4:13" x14ac:dyDescent="0.25">
      <c r="D54" s="11"/>
      <c r="E54" s="11"/>
      <c r="F54" s="11"/>
      <c r="G54" s="11"/>
      <c r="H54" s="11"/>
      <c r="I54" s="11"/>
      <c r="J54" s="11"/>
      <c r="K54" s="11"/>
      <c r="L54" s="11"/>
      <c r="M54" s="11"/>
    </row>
    <row r="55" spans="4:13" x14ac:dyDescent="0.25">
      <c r="D55" s="11"/>
      <c r="E55" s="11"/>
      <c r="F55" s="11"/>
      <c r="G55" s="11"/>
      <c r="H55" s="11"/>
      <c r="I55" s="11"/>
      <c r="J55" s="11"/>
      <c r="K55" s="11"/>
      <c r="L55" s="11"/>
      <c r="M55" s="11"/>
    </row>
    <row r="56" spans="4:13" x14ac:dyDescent="0.25">
      <c r="D56" s="11"/>
      <c r="E56" s="11"/>
      <c r="F56" s="11"/>
      <c r="G56" s="11"/>
      <c r="H56" s="11"/>
      <c r="I56" s="11"/>
      <c r="J56" s="11"/>
      <c r="K56" s="11"/>
      <c r="L56" s="11"/>
      <c r="M56" s="11"/>
    </row>
    <row r="57" spans="4:13" x14ac:dyDescent="0.25">
      <c r="D57" s="11"/>
      <c r="E57" s="11"/>
      <c r="F57" s="11"/>
      <c r="G57" s="11"/>
      <c r="H57" s="11"/>
      <c r="I57" s="11"/>
      <c r="J57" s="11"/>
      <c r="K57" s="11"/>
      <c r="L57" s="11"/>
      <c r="M57" s="11"/>
    </row>
  </sheetData>
  <mergeCells count="4">
    <mergeCell ref="B3:B4"/>
    <mergeCell ref="C3:C4"/>
    <mergeCell ref="D3:M3"/>
    <mergeCell ref="A31:M31"/>
  </mergeCells>
  <pageMargins left="0.7" right="0.7" top="0.75" bottom="0.75" header="0.3" footer="0.3"/>
  <pageSetup paperSize="9" scale="7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2"/>
  <sheetViews>
    <sheetView zoomScaleNormal="100" zoomScalePageLayoutView="85" workbookViewId="0"/>
  </sheetViews>
  <sheetFormatPr baseColWidth="10" defaultColWidth="9.140625" defaultRowHeight="15" x14ac:dyDescent="0.25"/>
  <cols>
    <col min="1" max="1" width="58.5703125" customWidth="1"/>
    <col min="2" max="2" width="12.28515625" style="1" bestFit="1" customWidth="1"/>
    <col min="3" max="3" width="9.7109375" style="7" customWidth="1"/>
    <col min="4" max="4" width="10.42578125" style="5" customWidth="1"/>
    <col min="5" max="6" width="8" style="5" bestFit="1" customWidth="1"/>
    <col min="7" max="7" width="7.85546875" style="5" bestFit="1" customWidth="1"/>
    <col min="8" max="12" width="8" style="5" bestFit="1" customWidth="1"/>
    <col min="13" max="13" width="9.85546875" style="5" customWidth="1"/>
    <col min="14" max="994" width="10.7109375" customWidth="1"/>
  </cols>
  <sheetData>
    <row r="1" spans="1:13" x14ac:dyDescent="0.25">
      <c r="A1" s="143" t="s">
        <v>158</v>
      </c>
      <c r="B1" s="8"/>
      <c r="C1" s="11"/>
      <c r="D1" s="11"/>
      <c r="E1" s="11"/>
      <c r="F1" s="60"/>
      <c r="G1" s="60"/>
    </row>
    <row r="2" spans="1:13" x14ac:dyDescent="0.25">
      <c r="K2" s="339" t="s">
        <v>159</v>
      </c>
      <c r="L2" s="340"/>
      <c r="M2" s="340"/>
    </row>
    <row r="3" spans="1:13" s="2" customFormat="1" ht="23.25" customHeight="1" x14ac:dyDescent="0.25">
      <c r="A3" s="189"/>
      <c r="B3" s="335" t="s">
        <v>64</v>
      </c>
      <c r="C3" s="336"/>
      <c r="D3" s="337" t="s">
        <v>130</v>
      </c>
      <c r="E3" s="338"/>
      <c r="F3" s="338"/>
      <c r="G3" s="338"/>
      <c r="H3" s="338"/>
      <c r="I3" s="338"/>
      <c r="J3" s="338"/>
      <c r="K3" s="338"/>
      <c r="L3" s="338"/>
      <c r="M3" s="336"/>
    </row>
    <row r="4" spans="1:13" s="2" customFormat="1" ht="37.5" customHeight="1" x14ac:dyDescent="0.25">
      <c r="A4" s="190"/>
      <c r="B4" s="249" t="s">
        <v>108</v>
      </c>
      <c r="C4" s="250" t="s">
        <v>109</v>
      </c>
      <c r="D4" s="272" t="str">
        <f>'[2]Figure 2'!D6</f>
        <v>Inférieur à D1</v>
      </c>
      <c r="E4" s="272" t="str">
        <f>'[2]Figure 2'!E6</f>
        <v>D1 à D2</v>
      </c>
      <c r="F4" s="272" t="str">
        <f>'[2]Figure 2'!F6</f>
        <v>D2 à D3</v>
      </c>
      <c r="G4" s="272" t="str">
        <f>'[2]Figure 2'!G6</f>
        <v>D3 à D4</v>
      </c>
      <c r="H4" s="272" t="str">
        <f>'[2]Figure 2'!H6</f>
        <v>D4 à D5</v>
      </c>
      <c r="I4" s="272" t="str">
        <f>'[2]Figure 2'!I6</f>
        <v>D5 à D6</v>
      </c>
      <c r="J4" s="272" t="str">
        <f>'[2]Figure 2'!J6</f>
        <v>D6 à D7</v>
      </c>
      <c r="K4" s="272" t="str">
        <f>'[2]Figure 2'!K6</f>
        <v>D7 à D8</v>
      </c>
      <c r="L4" s="272" t="str">
        <f>'[2]Figure 2'!L6</f>
        <v>D8 à D9</v>
      </c>
      <c r="M4" s="272" t="str">
        <f>'[2]Figure 2'!M6</f>
        <v>Supérieur à D9</v>
      </c>
    </row>
    <row r="5" spans="1:13" x14ac:dyDescent="0.25">
      <c r="A5" s="251" t="s">
        <v>110</v>
      </c>
      <c r="B5" s="252">
        <v>63.2</v>
      </c>
      <c r="C5" s="253">
        <v>1252.8</v>
      </c>
      <c r="D5" s="273">
        <v>21.5</v>
      </c>
      <c r="E5" s="273">
        <v>43.6</v>
      </c>
      <c r="F5" s="273">
        <v>62.9</v>
      </c>
      <c r="G5" s="273">
        <v>82.4</v>
      </c>
      <c r="H5" s="273">
        <v>101.2</v>
      </c>
      <c r="I5" s="273">
        <v>118.3</v>
      </c>
      <c r="J5" s="273">
        <v>137.5</v>
      </c>
      <c r="K5" s="273">
        <v>164.7</v>
      </c>
      <c r="L5" s="273">
        <v>196.4</v>
      </c>
      <c r="M5" s="273">
        <v>324.2</v>
      </c>
    </row>
    <row r="6" spans="1:13" x14ac:dyDescent="0.25">
      <c r="A6" s="203" t="s">
        <v>111</v>
      </c>
      <c r="B6" s="254">
        <v>39.1</v>
      </c>
      <c r="C6" s="255">
        <v>774.2</v>
      </c>
      <c r="D6" s="274">
        <v>11.1</v>
      </c>
      <c r="E6" s="274">
        <v>25.3</v>
      </c>
      <c r="F6" s="274">
        <v>38.299999999999997</v>
      </c>
      <c r="G6" s="274">
        <v>51.2</v>
      </c>
      <c r="H6" s="274">
        <v>62.2</v>
      </c>
      <c r="I6" s="274">
        <v>72.5</v>
      </c>
      <c r="J6" s="274">
        <v>84.2</v>
      </c>
      <c r="K6" s="274">
        <v>101.4</v>
      </c>
      <c r="L6" s="274">
        <v>120.9</v>
      </c>
      <c r="M6" s="274">
        <v>207.2</v>
      </c>
    </row>
    <row r="7" spans="1:13" x14ac:dyDescent="0.25">
      <c r="A7" s="256" t="s">
        <v>112</v>
      </c>
      <c r="B7" s="252">
        <v>15.8</v>
      </c>
      <c r="C7" s="253">
        <v>313.2</v>
      </c>
      <c r="D7" s="273">
        <v>7.5</v>
      </c>
      <c r="E7" s="273">
        <v>8.9</v>
      </c>
      <c r="F7" s="273">
        <v>12.7</v>
      </c>
      <c r="G7" s="273">
        <v>14.4</v>
      </c>
      <c r="H7" s="273">
        <v>16.600000000000001</v>
      </c>
      <c r="I7" s="273">
        <v>19.5</v>
      </c>
      <c r="J7" s="273">
        <v>23.4</v>
      </c>
      <c r="K7" s="273">
        <v>28</v>
      </c>
      <c r="L7" s="273">
        <v>41.1</v>
      </c>
      <c r="M7" s="273">
        <v>141.1</v>
      </c>
    </row>
    <row r="8" spans="1:13" x14ac:dyDescent="0.25">
      <c r="A8" s="203" t="s">
        <v>181</v>
      </c>
      <c r="B8" s="254">
        <v>5.6</v>
      </c>
      <c r="C8" s="255">
        <v>111.7</v>
      </c>
      <c r="D8" s="275">
        <v>1.6</v>
      </c>
      <c r="E8" s="275">
        <v>2.7</v>
      </c>
      <c r="F8" s="275">
        <v>3.2</v>
      </c>
      <c r="G8" s="275">
        <v>3.3</v>
      </c>
      <c r="H8" s="275">
        <v>3.2</v>
      </c>
      <c r="I8" s="275">
        <v>4.4000000000000004</v>
      </c>
      <c r="J8" s="275">
        <v>5.6</v>
      </c>
      <c r="K8" s="275">
        <v>7.2</v>
      </c>
      <c r="L8" s="275">
        <v>13.6</v>
      </c>
      <c r="M8" s="275">
        <v>67.099999999999994</v>
      </c>
    </row>
    <row r="9" spans="1:13" x14ac:dyDescent="0.25">
      <c r="A9" s="204" t="s">
        <v>182</v>
      </c>
      <c r="B9" s="254">
        <v>4.3</v>
      </c>
      <c r="C9" s="255">
        <v>86.2</v>
      </c>
      <c r="D9" s="274">
        <v>0.8</v>
      </c>
      <c r="E9" s="274">
        <v>1</v>
      </c>
      <c r="F9" s="274">
        <v>1.6</v>
      </c>
      <c r="G9" s="274">
        <v>1.9</v>
      </c>
      <c r="H9" s="274">
        <v>2.4</v>
      </c>
      <c r="I9" s="274">
        <v>3.2</v>
      </c>
      <c r="J9" s="274">
        <v>4.4000000000000004</v>
      </c>
      <c r="K9" s="274">
        <v>6</v>
      </c>
      <c r="L9" s="274">
        <v>10.8</v>
      </c>
      <c r="M9" s="274">
        <v>54.1</v>
      </c>
    </row>
    <row r="10" spans="1:13" x14ac:dyDescent="0.25">
      <c r="A10" s="204" t="s">
        <v>183</v>
      </c>
      <c r="B10" s="254">
        <v>5.8</v>
      </c>
      <c r="C10" s="255">
        <v>115.4</v>
      </c>
      <c r="D10" s="274">
        <v>5.0999999999999996</v>
      </c>
      <c r="E10" s="274">
        <v>5.3</v>
      </c>
      <c r="F10" s="274">
        <v>7.9</v>
      </c>
      <c r="G10" s="274">
        <v>9.3000000000000007</v>
      </c>
      <c r="H10" s="274">
        <v>11.1</v>
      </c>
      <c r="I10" s="274">
        <v>11.9</v>
      </c>
      <c r="J10" s="274">
        <v>13.4</v>
      </c>
      <c r="K10" s="274">
        <v>14.8</v>
      </c>
      <c r="L10" s="274">
        <v>16.7</v>
      </c>
      <c r="M10" s="274">
        <v>19.899999999999999</v>
      </c>
    </row>
    <row r="11" spans="1:13" x14ac:dyDescent="0.25">
      <c r="A11" s="258" t="s">
        <v>113</v>
      </c>
      <c r="B11" s="252">
        <v>5.8</v>
      </c>
      <c r="C11" s="253">
        <v>115.1</v>
      </c>
      <c r="D11" s="273">
        <v>0.4</v>
      </c>
      <c r="E11" s="273">
        <v>0.6</v>
      </c>
      <c r="F11" s="273">
        <v>0.5</v>
      </c>
      <c r="G11" s="273">
        <v>0.4</v>
      </c>
      <c r="H11" s="273">
        <v>0.5</v>
      </c>
      <c r="I11" s="273">
        <v>0.6</v>
      </c>
      <c r="J11" s="273">
        <v>1.4</v>
      </c>
      <c r="K11" s="273">
        <v>2.7</v>
      </c>
      <c r="L11" s="273">
        <v>3.9</v>
      </c>
      <c r="M11" s="273">
        <v>104.2</v>
      </c>
    </row>
    <row r="12" spans="1:13" x14ac:dyDescent="0.25">
      <c r="A12" s="203" t="s">
        <v>186</v>
      </c>
      <c r="B12" s="254">
        <v>1.5</v>
      </c>
      <c r="C12" s="255">
        <v>30</v>
      </c>
      <c r="D12" s="274">
        <v>0.1</v>
      </c>
      <c r="E12" s="274">
        <v>0.1</v>
      </c>
      <c r="F12" s="274">
        <v>0.1</v>
      </c>
      <c r="G12" s="274">
        <v>0.1</v>
      </c>
      <c r="H12" s="274">
        <v>0.1</v>
      </c>
      <c r="I12" s="274">
        <v>0.2</v>
      </c>
      <c r="J12" s="274">
        <v>0.4</v>
      </c>
      <c r="K12" s="274">
        <v>0.7</v>
      </c>
      <c r="L12" s="274">
        <v>1</v>
      </c>
      <c r="M12" s="274">
        <v>27.2</v>
      </c>
    </row>
    <row r="13" spans="1:13" x14ac:dyDescent="0.25">
      <c r="A13" s="204" t="s">
        <v>184</v>
      </c>
      <c r="B13" s="254">
        <v>3</v>
      </c>
      <c r="C13" s="255">
        <v>59.6</v>
      </c>
      <c r="D13" s="274">
        <v>0.2</v>
      </c>
      <c r="E13" s="274">
        <v>0.3</v>
      </c>
      <c r="F13" s="274">
        <v>0.3</v>
      </c>
      <c r="G13" s="274">
        <v>0.2</v>
      </c>
      <c r="H13" s="274">
        <v>0.3</v>
      </c>
      <c r="I13" s="274">
        <v>0.3</v>
      </c>
      <c r="J13" s="274">
        <v>0.7</v>
      </c>
      <c r="K13" s="274">
        <v>1.4</v>
      </c>
      <c r="L13" s="274">
        <v>2</v>
      </c>
      <c r="M13" s="274">
        <v>53.9</v>
      </c>
    </row>
    <row r="14" spans="1:13" x14ac:dyDescent="0.25">
      <c r="A14" s="204" t="s">
        <v>185</v>
      </c>
      <c r="B14" s="254">
        <v>1.3</v>
      </c>
      <c r="C14" s="255">
        <v>25.5</v>
      </c>
      <c r="D14" s="274">
        <v>0.1</v>
      </c>
      <c r="E14" s="274">
        <v>0.1</v>
      </c>
      <c r="F14" s="274">
        <v>0.1</v>
      </c>
      <c r="G14" s="274">
        <v>0.1</v>
      </c>
      <c r="H14" s="274">
        <v>0.1</v>
      </c>
      <c r="I14" s="274">
        <v>0.1</v>
      </c>
      <c r="J14" s="274">
        <v>0.3</v>
      </c>
      <c r="K14" s="274">
        <v>0.6</v>
      </c>
      <c r="L14" s="274">
        <v>0.9</v>
      </c>
      <c r="M14" s="274">
        <v>23.1</v>
      </c>
    </row>
    <row r="15" spans="1:13" s="11" customFormat="1" x14ac:dyDescent="0.25">
      <c r="A15" s="251" t="s">
        <v>114</v>
      </c>
      <c r="B15" s="259">
        <v>84.8</v>
      </c>
      <c r="C15" s="260">
        <v>1681.2</v>
      </c>
      <c r="D15" s="276">
        <v>29.4</v>
      </c>
      <c r="E15" s="276">
        <v>53.1</v>
      </c>
      <c r="F15" s="276">
        <v>76.099999999999994</v>
      </c>
      <c r="G15" s="276">
        <v>97.2</v>
      </c>
      <c r="H15" s="276">
        <v>118.3</v>
      </c>
      <c r="I15" s="276">
        <v>138.5</v>
      </c>
      <c r="J15" s="276">
        <v>162.30000000000001</v>
      </c>
      <c r="K15" s="276">
        <v>195.4</v>
      </c>
      <c r="L15" s="276">
        <v>241.4</v>
      </c>
      <c r="M15" s="276">
        <v>569.5</v>
      </c>
    </row>
    <row r="16" spans="1:13" x14ac:dyDescent="0.25">
      <c r="A16" s="145" t="s">
        <v>115</v>
      </c>
      <c r="B16" s="261">
        <v>15.2</v>
      </c>
      <c r="C16" s="262">
        <v>301.10000000000002</v>
      </c>
      <c r="D16" s="277">
        <v>17.5</v>
      </c>
      <c r="E16" s="277">
        <v>19.7</v>
      </c>
      <c r="F16" s="277">
        <v>22.1</v>
      </c>
      <c r="G16" s="277">
        <v>24.4</v>
      </c>
      <c r="H16" s="277">
        <v>27.3</v>
      </c>
      <c r="I16" s="277">
        <v>29</v>
      </c>
      <c r="J16" s="277">
        <v>31.2</v>
      </c>
      <c r="K16" s="277">
        <v>34.799999999999997</v>
      </c>
      <c r="L16" s="277">
        <v>41.2</v>
      </c>
      <c r="M16" s="277">
        <v>54.4</v>
      </c>
    </row>
    <row r="17" spans="1:13" x14ac:dyDescent="0.25">
      <c r="A17" s="263" t="s">
        <v>31</v>
      </c>
      <c r="B17" s="264">
        <v>16.399999999999999</v>
      </c>
      <c r="C17" s="257">
        <v>324.89999999999998</v>
      </c>
      <c r="D17" s="275">
        <v>19</v>
      </c>
      <c r="E17" s="275">
        <v>21.3</v>
      </c>
      <c r="F17" s="275">
        <v>23.8</v>
      </c>
      <c r="G17" s="275">
        <v>26.2</v>
      </c>
      <c r="H17" s="275">
        <v>29.2</v>
      </c>
      <c r="I17" s="275">
        <v>31</v>
      </c>
      <c r="J17" s="275">
        <v>33.4</v>
      </c>
      <c r="K17" s="275">
        <v>37.200000000000003</v>
      </c>
      <c r="L17" s="275">
        <v>44.1</v>
      </c>
      <c r="M17" s="275">
        <v>59.7</v>
      </c>
    </row>
    <row r="18" spans="1:13" x14ac:dyDescent="0.25">
      <c r="A18" s="263" t="s">
        <v>131</v>
      </c>
      <c r="B18" s="264">
        <v>-1.2</v>
      </c>
      <c r="C18" s="257">
        <v>-23.7</v>
      </c>
      <c r="D18" s="275">
        <v>-1.5</v>
      </c>
      <c r="E18" s="275">
        <v>-1.6</v>
      </c>
      <c r="F18" s="275">
        <v>-1.7</v>
      </c>
      <c r="G18" s="275">
        <v>-1.8</v>
      </c>
      <c r="H18" s="275">
        <v>-1.9</v>
      </c>
      <c r="I18" s="275">
        <v>-2</v>
      </c>
      <c r="J18" s="275">
        <v>-2.2000000000000002</v>
      </c>
      <c r="K18" s="275">
        <v>-2.5</v>
      </c>
      <c r="L18" s="275">
        <v>-2.9</v>
      </c>
      <c r="M18" s="275">
        <v>-5.2</v>
      </c>
    </row>
    <row r="19" spans="1:13" ht="17.25" customHeight="1" x14ac:dyDescent="0.25">
      <c r="A19" s="256" t="s">
        <v>219</v>
      </c>
      <c r="B19" s="252">
        <v>100</v>
      </c>
      <c r="C19" s="253">
        <v>1982.3</v>
      </c>
      <c r="D19" s="273">
        <v>46.9</v>
      </c>
      <c r="E19" s="273">
        <v>72.8</v>
      </c>
      <c r="F19" s="273">
        <v>98.3</v>
      </c>
      <c r="G19" s="273">
        <v>121.6</v>
      </c>
      <c r="H19" s="273">
        <v>145.6</v>
      </c>
      <c r="I19" s="273">
        <v>167.5</v>
      </c>
      <c r="J19" s="273">
        <v>193.4</v>
      </c>
      <c r="K19" s="273">
        <v>230.1</v>
      </c>
      <c r="L19" s="273">
        <v>282.60000000000002</v>
      </c>
      <c r="M19" s="273">
        <v>623.9</v>
      </c>
    </row>
    <row r="20" spans="1:13" ht="15.75" thickBot="1" x14ac:dyDescent="0.3">
      <c r="A20" s="265" t="s">
        <v>116</v>
      </c>
      <c r="B20" s="264">
        <v>100</v>
      </c>
      <c r="C20" s="257">
        <v>1982.3</v>
      </c>
      <c r="D20" s="275">
        <v>49.1</v>
      </c>
      <c r="E20" s="275">
        <v>77.5</v>
      </c>
      <c r="F20" s="275">
        <v>105.3</v>
      </c>
      <c r="G20" s="275">
        <v>128.19999999999999</v>
      </c>
      <c r="H20" s="275">
        <v>149.1</v>
      </c>
      <c r="I20" s="275">
        <v>168.6</v>
      </c>
      <c r="J20" s="275">
        <v>192.9</v>
      </c>
      <c r="K20" s="275">
        <v>226.1</v>
      </c>
      <c r="L20" s="275">
        <v>279.8</v>
      </c>
      <c r="M20" s="275">
        <v>612.4</v>
      </c>
    </row>
    <row r="21" spans="1:13" s="56" customFormat="1" ht="15.75" thickBot="1" x14ac:dyDescent="0.3">
      <c r="A21" s="191"/>
      <c r="B21" s="192"/>
      <c r="C21" s="193"/>
      <c r="D21" s="278"/>
      <c r="E21" s="278"/>
      <c r="F21" s="278"/>
      <c r="G21" s="278"/>
      <c r="H21" s="278"/>
      <c r="I21" s="278"/>
      <c r="J21" s="278"/>
      <c r="K21" s="278"/>
      <c r="L21" s="278"/>
      <c r="M21" s="278"/>
    </row>
    <row r="22" spans="1:13" x14ac:dyDescent="0.25">
      <c r="A22" s="215" t="s">
        <v>117</v>
      </c>
      <c r="B22" s="266">
        <v>-16.399999999999999</v>
      </c>
      <c r="C22" s="267">
        <v>-324.89999999999998</v>
      </c>
      <c r="D22" s="279">
        <v>-19</v>
      </c>
      <c r="E22" s="279">
        <v>-21.3</v>
      </c>
      <c r="F22" s="279">
        <v>-23.8</v>
      </c>
      <c r="G22" s="279">
        <v>-26.2</v>
      </c>
      <c r="H22" s="279">
        <v>-29.2</v>
      </c>
      <c r="I22" s="279">
        <v>-31</v>
      </c>
      <c r="J22" s="279">
        <v>-33.4</v>
      </c>
      <c r="K22" s="279">
        <v>-37.200000000000003</v>
      </c>
      <c r="L22" s="279">
        <v>-44.1</v>
      </c>
      <c r="M22" s="279">
        <v>-59.7</v>
      </c>
    </row>
    <row r="23" spans="1:13" x14ac:dyDescent="0.25">
      <c r="A23" s="203" t="s">
        <v>187</v>
      </c>
      <c r="B23" s="254">
        <v>-8.5</v>
      </c>
      <c r="C23" s="255">
        <v>-167.6</v>
      </c>
      <c r="D23" s="274">
        <v>-10.1</v>
      </c>
      <c r="E23" s="274">
        <v>-11</v>
      </c>
      <c r="F23" s="274">
        <v>-12.2</v>
      </c>
      <c r="G23" s="274">
        <v>-13.4</v>
      </c>
      <c r="H23" s="274">
        <v>-14.7</v>
      </c>
      <c r="I23" s="274">
        <v>-15.9</v>
      </c>
      <c r="J23" s="274">
        <v>-17.100000000000001</v>
      </c>
      <c r="K23" s="274">
        <v>-19.2</v>
      </c>
      <c r="L23" s="274">
        <v>-23</v>
      </c>
      <c r="M23" s="274">
        <v>-31</v>
      </c>
    </row>
    <row r="24" spans="1:13" x14ac:dyDescent="0.25">
      <c r="A24" s="204" t="s">
        <v>188</v>
      </c>
      <c r="B24" s="254">
        <v>-2.5</v>
      </c>
      <c r="C24" s="255">
        <v>-49.7</v>
      </c>
      <c r="D24" s="274">
        <v>-3.7</v>
      </c>
      <c r="E24" s="274">
        <v>-4.2</v>
      </c>
      <c r="F24" s="274">
        <v>-4.4000000000000004</v>
      </c>
      <c r="G24" s="274">
        <v>-4.8</v>
      </c>
      <c r="H24" s="274">
        <v>-5.2</v>
      </c>
      <c r="I24" s="274">
        <v>-5</v>
      </c>
      <c r="J24" s="274">
        <v>-4.9000000000000004</v>
      </c>
      <c r="K24" s="274">
        <v>-5.3</v>
      </c>
      <c r="L24" s="274">
        <v>-5.9</v>
      </c>
      <c r="M24" s="274">
        <v>-6.1</v>
      </c>
    </row>
    <row r="25" spans="1:13" x14ac:dyDescent="0.25">
      <c r="A25" s="204" t="s">
        <v>189</v>
      </c>
      <c r="B25" s="254">
        <v>-1.8</v>
      </c>
      <c r="C25" s="255">
        <v>-36.1</v>
      </c>
      <c r="D25" s="274">
        <v>-1.3</v>
      </c>
      <c r="E25" s="274">
        <v>-1.4</v>
      </c>
      <c r="F25" s="274">
        <v>-1.8</v>
      </c>
      <c r="G25" s="274">
        <v>-2.2000000000000002</v>
      </c>
      <c r="H25" s="274">
        <v>-2.7</v>
      </c>
      <c r="I25" s="274">
        <v>-3.2</v>
      </c>
      <c r="J25" s="274">
        <v>-3.8</v>
      </c>
      <c r="K25" s="274">
        <v>-4.5</v>
      </c>
      <c r="L25" s="274">
        <v>-5.8</v>
      </c>
      <c r="M25" s="274">
        <v>-9.3000000000000007</v>
      </c>
    </row>
    <row r="26" spans="1:13" x14ac:dyDescent="0.25">
      <c r="A26" s="204" t="s">
        <v>190</v>
      </c>
      <c r="B26" s="254">
        <v>-1.3</v>
      </c>
      <c r="C26" s="255">
        <v>-26.1</v>
      </c>
      <c r="D26" s="274">
        <v>-0.3</v>
      </c>
      <c r="E26" s="274">
        <v>-0.7</v>
      </c>
      <c r="F26" s="274">
        <v>-1.3</v>
      </c>
      <c r="G26" s="274">
        <v>-1.5</v>
      </c>
      <c r="H26" s="274">
        <v>-2</v>
      </c>
      <c r="I26" s="274">
        <v>-2.4</v>
      </c>
      <c r="J26" s="274">
        <v>-2.8</v>
      </c>
      <c r="K26" s="274">
        <v>-3.4</v>
      </c>
      <c r="L26" s="274">
        <v>-4.3</v>
      </c>
      <c r="M26" s="274">
        <v>-7.5</v>
      </c>
    </row>
    <row r="27" spans="1:13" x14ac:dyDescent="0.25">
      <c r="A27" s="204" t="s">
        <v>191</v>
      </c>
      <c r="B27" s="254">
        <v>-2.2999999999999998</v>
      </c>
      <c r="C27" s="255">
        <v>-45.4</v>
      </c>
      <c r="D27" s="274">
        <v>-3.7</v>
      </c>
      <c r="E27" s="274">
        <v>-3.9</v>
      </c>
      <c r="F27" s="274">
        <v>-4.0999999999999996</v>
      </c>
      <c r="G27" s="274">
        <v>-4.3</v>
      </c>
      <c r="H27" s="274">
        <v>-4.5</v>
      </c>
      <c r="I27" s="274">
        <v>-4.5999999999999996</v>
      </c>
      <c r="J27" s="274">
        <v>-4.7</v>
      </c>
      <c r="K27" s="274">
        <v>-4.9000000000000004</v>
      </c>
      <c r="L27" s="274">
        <v>-5</v>
      </c>
      <c r="M27" s="274">
        <v>-5.8</v>
      </c>
    </row>
    <row r="28" spans="1:13" x14ac:dyDescent="0.25">
      <c r="A28" s="251" t="s">
        <v>118</v>
      </c>
      <c r="B28" s="252">
        <v>-15.5</v>
      </c>
      <c r="C28" s="253">
        <v>-308</v>
      </c>
      <c r="D28" s="273">
        <v>-2.5</v>
      </c>
      <c r="E28" s="273">
        <v>-4.5999999999999996</v>
      </c>
      <c r="F28" s="273">
        <v>-7.3</v>
      </c>
      <c r="G28" s="273">
        <v>-10.7</v>
      </c>
      <c r="H28" s="273">
        <v>-13.8</v>
      </c>
      <c r="I28" s="273">
        <v>-17.100000000000001</v>
      </c>
      <c r="J28" s="273">
        <v>-22.3</v>
      </c>
      <c r="K28" s="273">
        <v>-30</v>
      </c>
      <c r="L28" s="273">
        <v>-42.3</v>
      </c>
      <c r="M28" s="273">
        <v>-157.4</v>
      </c>
    </row>
    <row r="29" spans="1:13" x14ac:dyDescent="0.25">
      <c r="A29" s="203" t="s">
        <v>192</v>
      </c>
      <c r="B29" s="254">
        <v>-6.3</v>
      </c>
      <c r="C29" s="255">
        <v>-125.3</v>
      </c>
      <c r="D29" s="274">
        <v>-1.3</v>
      </c>
      <c r="E29" s="274">
        <v>-3.2</v>
      </c>
      <c r="F29" s="274">
        <v>-5.3</v>
      </c>
      <c r="G29" s="274">
        <v>-7.7</v>
      </c>
      <c r="H29" s="274">
        <v>-9.6999999999999993</v>
      </c>
      <c r="I29" s="274">
        <v>-11.3</v>
      </c>
      <c r="J29" s="274">
        <v>-13.2</v>
      </c>
      <c r="K29" s="274">
        <v>-15.8</v>
      </c>
      <c r="L29" s="274">
        <v>-19.899999999999999</v>
      </c>
      <c r="M29" s="274">
        <v>-38</v>
      </c>
    </row>
    <row r="30" spans="1:13" x14ac:dyDescent="0.25">
      <c r="A30" s="204" t="s">
        <v>178</v>
      </c>
      <c r="B30" s="254">
        <v>-4.2</v>
      </c>
      <c r="C30" s="255">
        <v>-83</v>
      </c>
      <c r="D30" s="274">
        <v>-0.3</v>
      </c>
      <c r="E30" s="274">
        <v>-0.1</v>
      </c>
      <c r="F30" s="274">
        <v>-0.2</v>
      </c>
      <c r="G30" s="274">
        <v>-0.6</v>
      </c>
      <c r="H30" s="274">
        <v>-1.3</v>
      </c>
      <c r="I30" s="274">
        <v>-2.4</v>
      </c>
      <c r="J30" s="274">
        <v>-4.8</v>
      </c>
      <c r="K30" s="274">
        <v>-8.4</v>
      </c>
      <c r="L30" s="274">
        <v>-14.1</v>
      </c>
      <c r="M30" s="274">
        <v>-50.8</v>
      </c>
    </row>
    <row r="31" spans="1:13" x14ac:dyDescent="0.25">
      <c r="A31" s="204" t="s">
        <v>179</v>
      </c>
      <c r="B31" s="254">
        <v>-3</v>
      </c>
      <c r="C31" s="255">
        <v>-59.6</v>
      </c>
      <c r="D31" s="274">
        <v>-0.2</v>
      </c>
      <c r="E31" s="274">
        <v>-0.3</v>
      </c>
      <c r="F31" s="274">
        <v>-0.3</v>
      </c>
      <c r="G31" s="274">
        <v>-0.2</v>
      </c>
      <c r="H31" s="274">
        <v>-0.3</v>
      </c>
      <c r="I31" s="274">
        <v>-0.3</v>
      </c>
      <c r="J31" s="274">
        <v>-0.7</v>
      </c>
      <c r="K31" s="274">
        <v>-1.4</v>
      </c>
      <c r="L31" s="274">
        <v>-2</v>
      </c>
      <c r="M31" s="274">
        <v>-53.9</v>
      </c>
    </row>
    <row r="32" spans="1:13" x14ac:dyDescent="0.25">
      <c r="A32" s="204" t="s">
        <v>193</v>
      </c>
      <c r="B32" s="254">
        <v>-0.9</v>
      </c>
      <c r="C32" s="255">
        <v>-16.899999999999999</v>
      </c>
      <c r="D32" s="274">
        <v>-0.3</v>
      </c>
      <c r="E32" s="274">
        <v>-0.5</v>
      </c>
      <c r="F32" s="274">
        <v>-0.8</v>
      </c>
      <c r="G32" s="274">
        <v>-1.1000000000000001</v>
      </c>
      <c r="H32" s="274">
        <v>-1.3</v>
      </c>
      <c r="I32" s="274">
        <v>-1.5</v>
      </c>
      <c r="J32" s="274">
        <v>-1.8</v>
      </c>
      <c r="K32" s="274">
        <v>-2.2999999999999998</v>
      </c>
      <c r="L32" s="274">
        <v>-3</v>
      </c>
      <c r="M32" s="274">
        <v>-4.2</v>
      </c>
    </row>
    <row r="33" spans="1:13" x14ac:dyDescent="0.25">
      <c r="A33" s="204" t="s">
        <v>194</v>
      </c>
      <c r="B33" s="254">
        <v>-1.2</v>
      </c>
      <c r="C33" s="255">
        <v>-23.2</v>
      </c>
      <c r="D33" s="274">
        <v>-0.4</v>
      </c>
      <c r="E33" s="274">
        <v>-0.5</v>
      </c>
      <c r="F33" s="274">
        <v>-0.8</v>
      </c>
      <c r="G33" s="274">
        <v>-1.1000000000000001</v>
      </c>
      <c r="H33" s="274">
        <v>-1.2</v>
      </c>
      <c r="I33" s="274">
        <v>-1.5</v>
      </c>
      <c r="J33" s="274">
        <v>-1.8</v>
      </c>
      <c r="K33" s="274">
        <v>-2.2000000000000002</v>
      </c>
      <c r="L33" s="274">
        <v>-3.3</v>
      </c>
      <c r="M33" s="274">
        <v>-10.5</v>
      </c>
    </row>
    <row r="34" spans="1:13" x14ac:dyDescent="0.25">
      <c r="A34" s="251" t="s">
        <v>119</v>
      </c>
      <c r="B34" s="252">
        <v>-24.1</v>
      </c>
      <c r="C34" s="253">
        <v>-478.6</v>
      </c>
      <c r="D34" s="273">
        <v>-10.5</v>
      </c>
      <c r="E34" s="273">
        <v>-18.3</v>
      </c>
      <c r="F34" s="273">
        <v>-24.6</v>
      </c>
      <c r="G34" s="273">
        <v>-31.2</v>
      </c>
      <c r="H34" s="273">
        <v>-39</v>
      </c>
      <c r="I34" s="273">
        <v>-45.9</v>
      </c>
      <c r="J34" s="273">
        <v>-53.3</v>
      </c>
      <c r="K34" s="273">
        <v>-63.3</v>
      </c>
      <c r="L34" s="273">
        <v>-75.5</v>
      </c>
      <c r="M34" s="273">
        <v>-117</v>
      </c>
    </row>
    <row r="35" spans="1:13" x14ac:dyDescent="0.25">
      <c r="A35" s="203" t="s">
        <v>195</v>
      </c>
      <c r="B35" s="254">
        <v>-13</v>
      </c>
      <c r="C35" s="255">
        <v>-258.60000000000002</v>
      </c>
      <c r="D35" s="274">
        <v>-2.6</v>
      </c>
      <c r="E35" s="274">
        <v>-7.6</v>
      </c>
      <c r="F35" s="274">
        <v>-11.8</v>
      </c>
      <c r="G35" s="274">
        <v>-16.2</v>
      </c>
      <c r="H35" s="274">
        <v>-21.2</v>
      </c>
      <c r="I35" s="274">
        <v>-25.5</v>
      </c>
      <c r="J35" s="274">
        <v>-30.2</v>
      </c>
      <c r="K35" s="274">
        <v>-36.700000000000003</v>
      </c>
      <c r="L35" s="274">
        <v>-43.5</v>
      </c>
      <c r="M35" s="274">
        <v>-63.4</v>
      </c>
    </row>
    <row r="36" spans="1:13" x14ac:dyDescent="0.25">
      <c r="A36" s="204" t="s">
        <v>196</v>
      </c>
      <c r="B36" s="254">
        <v>-6.5</v>
      </c>
      <c r="C36" s="255">
        <v>-129.19999999999999</v>
      </c>
      <c r="D36" s="274">
        <v>-1.2</v>
      </c>
      <c r="E36" s="274">
        <v>-3.4</v>
      </c>
      <c r="F36" s="274">
        <v>-5.3</v>
      </c>
      <c r="G36" s="274">
        <v>-7.3</v>
      </c>
      <c r="H36" s="274">
        <v>-9.8000000000000007</v>
      </c>
      <c r="I36" s="274">
        <v>-11.8</v>
      </c>
      <c r="J36" s="274">
        <v>-14.2</v>
      </c>
      <c r="K36" s="274">
        <v>-17.3</v>
      </c>
      <c r="L36" s="274">
        <v>-21.7</v>
      </c>
      <c r="M36" s="274">
        <v>-37.1</v>
      </c>
    </row>
    <row r="37" spans="1:13" x14ac:dyDescent="0.25">
      <c r="A37" s="204" t="s">
        <v>197</v>
      </c>
      <c r="B37" s="254">
        <v>-1.5</v>
      </c>
      <c r="C37" s="255">
        <v>-29.7</v>
      </c>
      <c r="D37" s="274">
        <v>-0.3</v>
      </c>
      <c r="E37" s="274">
        <v>-0.9</v>
      </c>
      <c r="F37" s="274">
        <v>-1.4</v>
      </c>
      <c r="G37" s="274">
        <v>-1.8</v>
      </c>
      <c r="H37" s="274">
        <v>-2.2000000000000002</v>
      </c>
      <c r="I37" s="274">
        <v>-2.6</v>
      </c>
      <c r="J37" s="274">
        <v>-3</v>
      </c>
      <c r="K37" s="274">
        <v>-3.6</v>
      </c>
      <c r="L37" s="274">
        <v>-4.5999999999999996</v>
      </c>
      <c r="M37" s="274">
        <v>-9.1999999999999993</v>
      </c>
    </row>
    <row r="38" spans="1:13" x14ac:dyDescent="0.25">
      <c r="A38" s="204" t="s">
        <v>198</v>
      </c>
      <c r="B38" s="254">
        <v>-1.4</v>
      </c>
      <c r="C38" s="255">
        <v>-27.9</v>
      </c>
      <c r="D38" s="274">
        <v>-0.4</v>
      </c>
      <c r="E38" s="274">
        <v>-1.1000000000000001</v>
      </c>
      <c r="F38" s="274">
        <v>-1.6</v>
      </c>
      <c r="G38" s="274">
        <v>-1.9</v>
      </c>
      <c r="H38" s="274">
        <v>-2.5</v>
      </c>
      <c r="I38" s="274">
        <v>-2.7</v>
      </c>
      <c r="J38" s="274">
        <v>-3.1</v>
      </c>
      <c r="K38" s="274">
        <v>-3.6</v>
      </c>
      <c r="L38" s="274">
        <v>-4.5</v>
      </c>
      <c r="M38" s="274">
        <v>-6.5</v>
      </c>
    </row>
    <row r="39" spans="1:13" x14ac:dyDescent="0.25">
      <c r="A39" s="204" t="s">
        <v>199</v>
      </c>
      <c r="B39" s="254">
        <v>-1.7</v>
      </c>
      <c r="C39" s="255">
        <v>-33.200000000000003</v>
      </c>
      <c r="D39" s="274">
        <v>-5.9</v>
      </c>
      <c r="E39" s="274">
        <v>-5.3</v>
      </c>
      <c r="F39" s="274">
        <v>-4.5</v>
      </c>
      <c r="G39" s="274">
        <v>-4</v>
      </c>
      <c r="H39" s="274">
        <v>-3.3</v>
      </c>
      <c r="I39" s="274">
        <v>-3.2</v>
      </c>
      <c r="J39" s="274">
        <v>-2.8</v>
      </c>
      <c r="K39" s="274">
        <v>-2</v>
      </c>
      <c r="L39" s="274">
        <v>-1.2</v>
      </c>
      <c r="M39" s="274">
        <v>-0.9</v>
      </c>
    </row>
    <row r="40" spans="1:13" x14ac:dyDescent="0.25">
      <c r="A40" s="251" t="s">
        <v>120</v>
      </c>
      <c r="B40" s="252">
        <v>25.5</v>
      </c>
      <c r="C40" s="253">
        <v>504.5</v>
      </c>
      <c r="D40" s="273">
        <v>33.4</v>
      </c>
      <c r="E40" s="273">
        <v>41.1</v>
      </c>
      <c r="F40" s="273">
        <v>45</v>
      </c>
      <c r="G40" s="273">
        <v>46.6</v>
      </c>
      <c r="H40" s="273">
        <v>47.2</v>
      </c>
      <c r="I40" s="273">
        <v>49.3</v>
      </c>
      <c r="J40" s="273">
        <v>52.1</v>
      </c>
      <c r="K40" s="273">
        <v>54.4</v>
      </c>
      <c r="L40" s="273">
        <v>63</v>
      </c>
      <c r="M40" s="273">
        <v>72.400000000000006</v>
      </c>
    </row>
    <row r="41" spans="1:13" x14ac:dyDescent="0.25">
      <c r="A41" s="203" t="s">
        <v>48</v>
      </c>
      <c r="B41" s="254">
        <v>16.899999999999999</v>
      </c>
      <c r="C41" s="255">
        <v>334.1</v>
      </c>
      <c r="D41" s="274">
        <v>5.7</v>
      </c>
      <c r="E41" s="274">
        <v>15.9</v>
      </c>
      <c r="F41" s="274">
        <v>24.2</v>
      </c>
      <c r="G41" s="274">
        <v>29.2</v>
      </c>
      <c r="H41" s="274">
        <v>31.9</v>
      </c>
      <c r="I41" s="274">
        <v>34.5</v>
      </c>
      <c r="J41" s="274">
        <v>39.4</v>
      </c>
      <c r="K41" s="274">
        <v>42.3</v>
      </c>
      <c r="L41" s="274">
        <v>51.8</v>
      </c>
      <c r="M41" s="274">
        <v>59.2</v>
      </c>
    </row>
    <row r="42" spans="1:13" x14ac:dyDescent="0.25">
      <c r="A42" s="204" t="s">
        <v>198</v>
      </c>
      <c r="B42" s="254">
        <v>2.2999999999999998</v>
      </c>
      <c r="C42" s="255">
        <v>45.1</v>
      </c>
      <c r="D42" s="274">
        <v>4.7</v>
      </c>
      <c r="E42" s="274">
        <v>5.5</v>
      </c>
      <c r="F42" s="274">
        <v>5.3</v>
      </c>
      <c r="G42" s="274">
        <v>4.7</v>
      </c>
      <c r="H42" s="274">
        <v>4.3</v>
      </c>
      <c r="I42" s="274">
        <v>4.4000000000000004</v>
      </c>
      <c r="J42" s="274">
        <v>3.6</v>
      </c>
      <c r="K42" s="274">
        <v>3.9</v>
      </c>
      <c r="L42" s="274">
        <v>3.8</v>
      </c>
      <c r="M42" s="274">
        <v>4.8</v>
      </c>
    </row>
    <row r="43" spans="1:13" x14ac:dyDescent="0.25">
      <c r="A43" s="204" t="s">
        <v>197</v>
      </c>
      <c r="B43" s="254">
        <v>1.7</v>
      </c>
      <c r="C43" s="255">
        <v>33</v>
      </c>
      <c r="D43" s="274">
        <v>6.9</v>
      </c>
      <c r="E43" s="274">
        <v>5.9</v>
      </c>
      <c r="F43" s="274">
        <v>4.7</v>
      </c>
      <c r="G43" s="274">
        <v>3.8</v>
      </c>
      <c r="H43" s="274">
        <v>3.2</v>
      </c>
      <c r="I43" s="274">
        <v>2.9</v>
      </c>
      <c r="J43" s="274">
        <v>2.2999999999999998</v>
      </c>
      <c r="K43" s="274">
        <v>1.7</v>
      </c>
      <c r="L43" s="274">
        <v>1</v>
      </c>
      <c r="M43" s="274">
        <v>0.6</v>
      </c>
    </row>
    <row r="44" spans="1:13" x14ac:dyDescent="0.25">
      <c r="A44" s="204" t="s">
        <v>200</v>
      </c>
      <c r="B44" s="254">
        <v>1.1000000000000001</v>
      </c>
      <c r="C44" s="255">
        <v>21.2</v>
      </c>
      <c r="D44" s="274">
        <v>7.7</v>
      </c>
      <c r="E44" s="274">
        <v>5.3</v>
      </c>
      <c r="F44" s="274">
        <v>3</v>
      </c>
      <c r="G44" s="274">
        <v>1.8</v>
      </c>
      <c r="H44" s="274">
        <v>1.1000000000000001</v>
      </c>
      <c r="I44" s="274">
        <v>0.7</v>
      </c>
      <c r="J44" s="274">
        <v>0.5</v>
      </c>
      <c r="K44" s="274">
        <v>0.4</v>
      </c>
      <c r="L44" s="274">
        <v>0.3</v>
      </c>
      <c r="M44" s="274">
        <v>0.3</v>
      </c>
    </row>
    <row r="45" spans="1:13" x14ac:dyDescent="0.25">
      <c r="A45" s="204" t="s">
        <v>201</v>
      </c>
      <c r="B45" s="254">
        <v>1.1000000000000001</v>
      </c>
      <c r="C45" s="255">
        <v>21.8</v>
      </c>
      <c r="D45" s="274">
        <v>1.8</v>
      </c>
      <c r="E45" s="274">
        <v>2.4</v>
      </c>
      <c r="F45" s="274">
        <v>2.5</v>
      </c>
      <c r="G45" s="274">
        <v>2.4</v>
      </c>
      <c r="H45" s="274">
        <v>2.2999999999999998</v>
      </c>
      <c r="I45" s="274">
        <v>2.2999999999999998</v>
      </c>
      <c r="J45" s="274">
        <v>1.9</v>
      </c>
      <c r="K45" s="274">
        <v>2.1</v>
      </c>
      <c r="L45" s="274">
        <v>2.1</v>
      </c>
      <c r="M45" s="274">
        <v>1.9</v>
      </c>
    </row>
    <row r="46" spans="1:13" x14ac:dyDescent="0.25">
      <c r="A46" s="204" t="s">
        <v>202</v>
      </c>
      <c r="B46" s="254">
        <v>1.5</v>
      </c>
      <c r="C46" s="255">
        <v>30.1</v>
      </c>
      <c r="D46" s="274">
        <v>6.3</v>
      </c>
      <c r="E46" s="274">
        <v>5.4</v>
      </c>
      <c r="F46" s="274">
        <v>4.3</v>
      </c>
      <c r="G46" s="274">
        <v>3.5</v>
      </c>
      <c r="H46" s="274">
        <v>2.9</v>
      </c>
      <c r="I46" s="274">
        <v>2.6</v>
      </c>
      <c r="J46" s="274">
        <v>2.1</v>
      </c>
      <c r="K46" s="274">
        <v>1.5</v>
      </c>
      <c r="L46" s="274">
        <v>0.9</v>
      </c>
      <c r="M46" s="274">
        <v>0.5</v>
      </c>
    </row>
    <row r="47" spans="1:13" x14ac:dyDescent="0.25">
      <c r="A47" s="204" t="s">
        <v>203</v>
      </c>
      <c r="B47" s="254">
        <v>1</v>
      </c>
      <c r="C47" s="255">
        <v>19.2</v>
      </c>
      <c r="D47" s="274">
        <v>0.3</v>
      </c>
      <c r="E47" s="274">
        <v>0.6</v>
      </c>
      <c r="F47" s="274">
        <v>0.9</v>
      </c>
      <c r="G47" s="274">
        <v>1.3</v>
      </c>
      <c r="H47" s="274">
        <v>1.5</v>
      </c>
      <c r="I47" s="274">
        <v>1.8</v>
      </c>
      <c r="J47" s="274">
        <v>2.1</v>
      </c>
      <c r="K47" s="274">
        <v>2.5</v>
      </c>
      <c r="L47" s="274">
        <v>3</v>
      </c>
      <c r="M47" s="274">
        <v>5.0999999999999996</v>
      </c>
    </row>
    <row r="48" spans="1:13" x14ac:dyDescent="0.25">
      <c r="A48" s="268" t="s">
        <v>121</v>
      </c>
      <c r="B48" s="252">
        <v>0</v>
      </c>
      <c r="C48" s="253">
        <v>0.2</v>
      </c>
      <c r="D48" s="273">
        <v>0.9</v>
      </c>
      <c r="E48" s="273">
        <v>0.8</v>
      </c>
      <c r="F48" s="273">
        <v>0.6</v>
      </c>
      <c r="G48" s="273">
        <v>0.4</v>
      </c>
      <c r="H48" s="273">
        <v>0.2</v>
      </c>
      <c r="I48" s="273">
        <v>0</v>
      </c>
      <c r="J48" s="273">
        <v>-0.1</v>
      </c>
      <c r="K48" s="273">
        <v>-0.3</v>
      </c>
      <c r="L48" s="273">
        <v>-0.5</v>
      </c>
      <c r="M48" s="273">
        <v>-2.2000000000000002</v>
      </c>
    </row>
    <row r="49" spans="1:13" x14ac:dyDescent="0.25">
      <c r="A49" s="203" t="s">
        <v>122</v>
      </c>
      <c r="B49" s="254">
        <v>-1.2</v>
      </c>
      <c r="C49" s="255">
        <v>-23.5</v>
      </c>
      <c r="D49" s="274">
        <v>-0.6</v>
      </c>
      <c r="E49" s="274">
        <v>-0.9</v>
      </c>
      <c r="F49" s="274">
        <v>-1.2</v>
      </c>
      <c r="G49" s="274">
        <v>-1.4</v>
      </c>
      <c r="H49" s="274">
        <v>-1.7</v>
      </c>
      <c r="I49" s="274">
        <v>-2</v>
      </c>
      <c r="J49" s="274">
        <v>-2.2999999999999998</v>
      </c>
      <c r="K49" s="274">
        <v>-2.7</v>
      </c>
      <c r="L49" s="274">
        <v>-3.4</v>
      </c>
      <c r="M49" s="274">
        <v>-7.4</v>
      </c>
    </row>
    <row r="50" spans="1:13" x14ac:dyDescent="0.25">
      <c r="A50" s="203" t="s">
        <v>132</v>
      </c>
      <c r="B50" s="254">
        <v>1.2</v>
      </c>
      <c r="C50" s="255">
        <v>23.7</v>
      </c>
      <c r="D50" s="274">
        <v>1.5</v>
      </c>
      <c r="E50" s="274">
        <v>1.6</v>
      </c>
      <c r="F50" s="274">
        <v>1.7</v>
      </c>
      <c r="G50" s="274">
        <v>1.8</v>
      </c>
      <c r="H50" s="274">
        <v>1.9</v>
      </c>
      <c r="I50" s="274">
        <v>2</v>
      </c>
      <c r="J50" s="274">
        <v>2.2000000000000002</v>
      </c>
      <c r="K50" s="274">
        <v>2.5</v>
      </c>
      <c r="L50" s="274">
        <v>2.9</v>
      </c>
      <c r="M50" s="274">
        <v>5.2</v>
      </c>
    </row>
    <row r="51" spans="1:13" x14ac:dyDescent="0.25">
      <c r="A51" s="269" t="s">
        <v>160</v>
      </c>
      <c r="B51" s="261">
        <v>69.400000000000006</v>
      </c>
      <c r="C51" s="262">
        <v>1375.6</v>
      </c>
      <c r="D51" s="277">
        <v>49.2</v>
      </c>
      <c r="E51" s="277">
        <v>70.400000000000006</v>
      </c>
      <c r="F51" s="277">
        <v>88.1</v>
      </c>
      <c r="G51" s="277">
        <v>100.5</v>
      </c>
      <c r="H51" s="277">
        <v>111</v>
      </c>
      <c r="I51" s="277">
        <v>122.8</v>
      </c>
      <c r="J51" s="277">
        <v>136.5</v>
      </c>
      <c r="K51" s="277">
        <v>153.69999999999999</v>
      </c>
      <c r="L51" s="277">
        <v>183.3</v>
      </c>
      <c r="M51" s="277">
        <v>360</v>
      </c>
    </row>
    <row r="52" spans="1:13" x14ac:dyDescent="0.25">
      <c r="A52" s="145" t="s">
        <v>123</v>
      </c>
      <c r="B52" s="261">
        <v>20.6</v>
      </c>
      <c r="C52" s="262">
        <v>407.5</v>
      </c>
      <c r="D52" s="277">
        <v>56.3</v>
      </c>
      <c r="E52" s="277">
        <v>54.9</v>
      </c>
      <c r="F52" s="277">
        <v>47.2</v>
      </c>
      <c r="G52" s="277">
        <v>42</v>
      </c>
      <c r="H52" s="277">
        <v>38.5</v>
      </c>
      <c r="I52" s="277">
        <v>35.9</v>
      </c>
      <c r="J52" s="277">
        <v>35.1</v>
      </c>
      <c r="K52" s="277">
        <v>33.799999999999997</v>
      </c>
      <c r="L52" s="277">
        <v>34.299999999999997</v>
      </c>
      <c r="M52" s="277">
        <v>29.4</v>
      </c>
    </row>
    <row r="53" spans="1:13" x14ac:dyDescent="0.25">
      <c r="A53" s="203" t="s">
        <v>45</v>
      </c>
      <c r="B53" s="254">
        <v>9.1999999999999993</v>
      </c>
      <c r="C53" s="255">
        <v>183</v>
      </c>
      <c r="D53" s="274">
        <v>18.3</v>
      </c>
      <c r="E53" s="274">
        <v>22.9</v>
      </c>
      <c r="F53" s="274">
        <v>20.5</v>
      </c>
      <c r="G53" s="274">
        <v>18.5</v>
      </c>
      <c r="H53" s="274">
        <v>17.399999999999999</v>
      </c>
      <c r="I53" s="274">
        <v>16.3</v>
      </c>
      <c r="J53" s="274">
        <v>17</v>
      </c>
      <c r="K53" s="274">
        <v>17.2</v>
      </c>
      <c r="L53" s="274">
        <v>19.899999999999999</v>
      </c>
      <c r="M53" s="274">
        <v>14.8</v>
      </c>
    </row>
    <row r="54" spans="1:13" x14ac:dyDescent="0.25">
      <c r="A54" s="204" t="s">
        <v>46</v>
      </c>
      <c r="B54" s="254">
        <v>5.3</v>
      </c>
      <c r="C54" s="255">
        <v>104.9</v>
      </c>
      <c r="D54" s="274">
        <v>15.7</v>
      </c>
      <c r="E54" s="274">
        <v>13.1</v>
      </c>
      <c r="F54" s="274">
        <v>11.8</v>
      </c>
      <c r="G54" s="274">
        <v>11</v>
      </c>
      <c r="H54" s="274">
        <v>10.199999999999999</v>
      </c>
      <c r="I54" s="274">
        <v>9.1999999999999993</v>
      </c>
      <c r="J54" s="274">
        <v>8.5</v>
      </c>
      <c r="K54" s="274">
        <v>8.6</v>
      </c>
      <c r="L54" s="274">
        <v>8</v>
      </c>
      <c r="M54" s="274">
        <v>8.8000000000000007</v>
      </c>
    </row>
    <row r="55" spans="1:13" x14ac:dyDescent="0.25">
      <c r="A55" s="204" t="s">
        <v>204</v>
      </c>
      <c r="B55" s="254">
        <v>3.3</v>
      </c>
      <c r="C55" s="255">
        <v>65.2</v>
      </c>
      <c r="D55" s="274">
        <v>11.7</v>
      </c>
      <c r="E55" s="274">
        <v>10.4</v>
      </c>
      <c r="F55" s="274">
        <v>8.9</v>
      </c>
      <c r="G55" s="274">
        <v>7.8</v>
      </c>
      <c r="H55" s="274">
        <v>6.6</v>
      </c>
      <c r="I55" s="274">
        <v>6.2</v>
      </c>
      <c r="J55" s="274">
        <v>5.5</v>
      </c>
      <c r="K55" s="274">
        <v>3.9</v>
      </c>
      <c r="L55" s="274">
        <v>2.4</v>
      </c>
      <c r="M55" s="274">
        <v>1.8</v>
      </c>
    </row>
    <row r="56" spans="1:13" x14ac:dyDescent="0.25">
      <c r="A56" s="204" t="s">
        <v>124</v>
      </c>
      <c r="B56" s="254">
        <v>2</v>
      </c>
      <c r="C56" s="255">
        <v>39.1</v>
      </c>
      <c r="D56" s="274">
        <v>3.9</v>
      </c>
      <c r="E56" s="274">
        <v>3.9</v>
      </c>
      <c r="F56" s="274">
        <v>3.9</v>
      </c>
      <c r="G56" s="274">
        <v>3.9</v>
      </c>
      <c r="H56" s="274">
        <v>3.9</v>
      </c>
      <c r="I56" s="274">
        <v>3.9</v>
      </c>
      <c r="J56" s="274">
        <v>3.9</v>
      </c>
      <c r="K56" s="274">
        <v>3.9</v>
      </c>
      <c r="L56" s="274">
        <v>3.9</v>
      </c>
      <c r="M56" s="274">
        <v>3.9</v>
      </c>
    </row>
    <row r="57" spans="1:13" x14ac:dyDescent="0.25">
      <c r="A57" s="204" t="s">
        <v>205</v>
      </c>
      <c r="B57" s="254">
        <v>0.8</v>
      </c>
      <c r="C57" s="255">
        <v>15.5</v>
      </c>
      <c r="D57" s="274">
        <v>6.7</v>
      </c>
      <c r="E57" s="274">
        <v>4.5999999999999996</v>
      </c>
      <c r="F57" s="274">
        <v>2.1</v>
      </c>
      <c r="G57" s="274">
        <v>0.8</v>
      </c>
      <c r="H57" s="274">
        <v>0.5</v>
      </c>
      <c r="I57" s="274">
        <v>0.2</v>
      </c>
      <c r="J57" s="274">
        <v>0.2</v>
      </c>
      <c r="K57" s="274">
        <v>0.1</v>
      </c>
      <c r="L57" s="274">
        <v>0.1</v>
      </c>
      <c r="M57" s="274">
        <v>0.1</v>
      </c>
    </row>
    <row r="58" spans="1:13" x14ac:dyDescent="0.25">
      <c r="A58" s="270" t="s">
        <v>161</v>
      </c>
      <c r="B58" s="261">
        <v>90</v>
      </c>
      <c r="C58" s="262">
        <v>1783.1</v>
      </c>
      <c r="D58" s="277">
        <v>105.5</v>
      </c>
      <c r="E58" s="277">
        <v>125.4</v>
      </c>
      <c r="F58" s="277">
        <v>135.19999999999999</v>
      </c>
      <c r="G58" s="277">
        <v>142.6</v>
      </c>
      <c r="H58" s="277">
        <v>149.5</v>
      </c>
      <c r="I58" s="277">
        <v>158.69999999999999</v>
      </c>
      <c r="J58" s="277">
        <v>171.6</v>
      </c>
      <c r="K58" s="277">
        <v>187.5</v>
      </c>
      <c r="L58" s="277">
        <v>217.6</v>
      </c>
      <c r="M58" s="277">
        <v>389.4</v>
      </c>
    </row>
    <row r="59" spans="1:13" x14ac:dyDescent="0.25">
      <c r="A59" s="271" t="s">
        <v>125</v>
      </c>
      <c r="B59" s="261">
        <v>9.6</v>
      </c>
      <c r="C59" s="262">
        <v>191</v>
      </c>
      <c r="D59" s="277">
        <v>19.2</v>
      </c>
      <c r="E59" s="277">
        <v>18.7</v>
      </c>
      <c r="F59" s="277">
        <v>18.399999999999999</v>
      </c>
      <c r="G59" s="277">
        <v>18.5</v>
      </c>
      <c r="H59" s="277">
        <v>18.2</v>
      </c>
      <c r="I59" s="277">
        <v>18.3</v>
      </c>
      <c r="J59" s="277">
        <v>18.399999999999999</v>
      </c>
      <c r="K59" s="277">
        <v>19.100000000000001</v>
      </c>
      <c r="L59" s="277">
        <v>19.899999999999999</v>
      </c>
      <c r="M59" s="277">
        <v>22.2</v>
      </c>
    </row>
    <row r="60" spans="1:13" x14ac:dyDescent="0.25">
      <c r="A60" s="203" t="s">
        <v>206</v>
      </c>
      <c r="B60" s="254">
        <v>6</v>
      </c>
      <c r="C60" s="255">
        <v>119.4</v>
      </c>
      <c r="D60" s="274">
        <v>12</v>
      </c>
      <c r="E60" s="274">
        <v>11.6</v>
      </c>
      <c r="F60" s="274">
        <v>11.4</v>
      </c>
      <c r="G60" s="274">
        <v>11.5</v>
      </c>
      <c r="H60" s="274">
        <v>11.3</v>
      </c>
      <c r="I60" s="274">
        <v>11.4</v>
      </c>
      <c r="J60" s="274">
        <v>11.4</v>
      </c>
      <c r="K60" s="274">
        <v>11.9</v>
      </c>
      <c r="L60" s="274">
        <v>12.5</v>
      </c>
      <c r="M60" s="274">
        <v>14.3</v>
      </c>
    </row>
    <row r="61" spans="1:13" x14ac:dyDescent="0.25">
      <c r="A61" s="204" t="s">
        <v>207</v>
      </c>
      <c r="B61" s="254">
        <v>3</v>
      </c>
      <c r="C61" s="255">
        <v>58.6</v>
      </c>
      <c r="D61" s="274">
        <v>5.9</v>
      </c>
      <c r="E61" s="274">
        <v>5.8</v>
      </c>
      <c r="F61" s="274">
        <v>5.7</v>
      </c>
      <c r="G61" s="274">
        <v>5.7</v>
      </c>
      <c r="H61" s="274">
        <v>5.6</v>
      </c>
      <c r="I61" s="274">
        <v>5.7</v>
      </c>
      <c r="J61" s="274">
        <v>5.7</v>
      </c>
      <c r="K61" s="274">
        <v>5.9</v>
      </c>
      <c r="L61" s="274">
        <v>6.1</v>
      </c>
      <c r="M61" s="274">
        <v>6.7</v>
      </c>
    </row>
    <row r="62" spans="1:13" x14ac:dyDescent="0.25">
      <c r="A62" s="204" t="s">
        <v>208</v>
      </c>
      <c r="B62" s="254">
        <v>0.7</v>
      </c>
      <c r="C62" s="255">
        <v>13</v>
      </c>
      <c r="D62" s="274">
        <v>1.3</v>
      </c>
      <c r="E62" s="274">
        <v>1.3</v>
      </c>
      <c r="F62" s="274">
        <v>1.3</v>
      </c>
      <c r="G62" s="274">
        <v>1.3</v>
      </c>
      <c r="H62" s="274">
        <v>1.3</v>
      </c>
      <c r="I62" s="274">
        <v>1.3</v>
      </c>
      <c r="J62" s="274">
        <v>1.3</v>
      </c>
      <c r="K62" s="274">
        <v>1.3</v>
      </c>
      <c r="L62" s="274">
        <v>1.3</v>
      </c>
      <c r="M62" s="274">
        <v>1.3</v>
      </c>
    </row>
    <row r="63" spans="1:13" x14ac:dyDescent="0.25">
      <c r="A63" s="268" t="s">
        <v>126</v>
      </c>
      <c r="B63" s="252">
        <v>2.2999999999999998</v>
      </c>
      <c r="C63" s="253">
        <v>45.1</v>
      </c>
      <c r="D63" s="273">
        <v>4.5</v>
      </c>
      <c r="E63" s="273">
        <v>4.5</v>
      </c>
      <c r="F63" s="273">
        <v>4.5</v>
      </c>
      <c r="G63" s="273">
        <v>4.5</v>
      </c>
      <c r="H63" s="273">
        <v>4.5</v>
      </c>
      <c r="I63" s="273">
        <v>4.5</v>
      </c>
      <c r="J63" s="273">
        <v>4.5</v>
      </c>
      <c r="K63" s="273">
        <v>4.5</v>
      </c>
      <c r="L63" s="273">
        <v>4.5</v>
      </c>
      <c r="M63" s="273">
        <v>4.5</v>
      </c>
    </row>
    <row r="64" spans="1:13" x14ac:dyDescent="0.25">
      <c r="A64" s="203" t="s">
        <v>209</v>
      </c>
      <c r="B64" s="254">
        <v>-0.1</v>
      </c>
      <c r="C64" s="255">
        <v>-2.6</v>
      </c>
      <c r="D64" s="274">
        <v>-0.3</v>
      </c>
      <c r="E64" s="274">
        <v>-0.3</v>
      </c>
      <c r="F64" s="274">
        <v>-0.3</v>
      </c>
      <c r="G64" s="274">
        <v>-0.3</v>
      </c>
      <c r="H64" s="274">
        <v>-0.3</v>
      </c>
      <c r="I64" s="274">
        <v>-0.3</v>
      </c>
      <c r="J64" s="274">
        <v>-0.3</v>
      </c>
      <c r="K64" s="274">
        <v>-0.3</v>
      </c>
      <c r="L64" s="274">
        <v>-0.3</v>
      </c>
      <c r="M64" s="274">
        <v>-0.3</v>
      </c>
    </row>
    <row r="65" spans="1:13" x14ac:dyDescent="0.25">
      <c r="A65" s="204" t="s">
        <v>210</v>
      </c>
      <c r="B65" s="254">
        <v>2.4</v>
      </c>
      <c r="C65" s="255">
        <v>47.7</v>
      </c>
      <c r="D65" s="274">
        <v>4.8</v>
      </c>
      <c r="E65" s="274">
        <v>4.8</v>
      </c>
      <c r="F65" s="274">
        <v>4.8</v>
      </c>
      <c r="G65" s="274">
        <v>4.8</v>
      </c>
      <c r="H65" s="274">
        <v>4.8</v>
      </c>
      <c r="I65" s="274">
        <v>4.8</v>
      </c>
      <c r="J65" s="274">
        <v>4.8</v>
      </c>
      <c r="K65" s="274">
        <v>4.8</v>
      </c>
      <c r="L65" s="274">
        <v>4.8</v>
      </c>
      <c r="M65" s="274">
        <v>4.8</v>
      </c>
    </row>
    <row r="66" spans="1:13" x14ac:dyDescent="0.25">
      <c r="A66" s="258" t="s">
        <v>127</v>
      </c>
      <c r="B66" s="252">
        <v>-1.9</v>
      </c>
      <c r="C66" s="253">
        <v>-36.9</v>
      </c>
      <c r="D66" s="273">
        <v>-2.2999999999999998</v>
      </c>
      <c r="E66" s="273">
        <v>-2.6</v>
      </c>
      <c r="F66" s="273">
        <v>-2.7</v>
      </c>
      <c r="G66" s="273">
        <v>-2.8</v>
      </c>
      <c r="H66" s="273">
        <v>-3</v>
      </c>
      <c r="I66" s="273">
        <v>-3.2</v>
      </c>
      <c r="J66" s="273">
        <v>-3.4</v>
      </c>
      <c r="K66" s="273">
        <v>-3.8</v>
      </c>
      <c r="L66" s="273">
        <v>-4.5</v>
      </c>
      <c r="M66" s="273">
        <v>-8.1</v>
      </c>
    </row>
    <row r="67" spans="1:13" x14ac:dyDescent="0.25">
      <c r="A67" s="203" t="s">
        <v>128</v>
      </c>
      <c r="B67" s="254">
        <v>-1.9</v>
      </c>
      <c r="C67" s="255">
        <v>-36.9</v>
      </c>
      <c r="D67" s="274">
        <v>-2.2999999999999998</v>
      </c>
      <c r="E67" s="274">
        <v>-2.6</v>
      </c>
      <c r="F67" s="274">
        <v>-2.7</v>
      </c>
      <c r="G67" s="274">
        <v>-2.8</v>
      </c>
      <c r="H67" s="274">
        <v>-3</v>
      </c>
      <c r="I67" s="274">
        <v>-3.2</v>
      </c>
      <c r="J67" s="274">
        <v>-3.4</v>
      </c>
      <c r="K67" s="274">
        <v>-3.8</v>
      </c>
      <c r="L67" s="274">
        <v>-4.5</v>
      </c>
      <c r="M67" s="274">
        <v>-8.1</v>
      </c>
    </row>
    <row r="68" spans="1:13" x14ac:dyDescent="0.25">
      <c r="A68" s="270" t="s">
        <v>222</v>
      </c>
      <c r="B68" s="261">
        <v>100</v>
      </c>
      <c r="C68" s="262">
        <v>1982.3</v>
      </c>
      <c r="D68" s="277">
        <v>127</v>
      </c>
      <c r="E68" s="277">
        <v>146</v>
      </c>
      <c r="F68" s="277">
        <v>155.5</v>
      </c>
      <c r="G68" s="277">
        <v>162.80000000000001</v>
      </c>
      <c r="H68" s="277">
        <v>169.3</v>
      </c>
      <c r="I68" s="277">
        <v>178.4</v>
      </c>
      <c r="J68" s="277">
        <v>191</v>
      </c>
      <c r="K68" s="277">
        <v>207.2</v>
      </c>
      <c r="L68" s="277">
        <v>237.5</v>
      </c>
      <c r="M68" s="277">
        <v>408</v>
      </c>
    </row>
    <row r="69" spans="1:13" x14ac:dyDescent="0.25">
      <c r="A69" s="25" t="s">
        <v>134</v>
      </c>
      <c r="B69" s="14"/>
      <c r="C69" s="15"/>
      <c r="D69" s="16"/>
      <c r="E69" s="16"/>
      <c r="F69" s="16"/>
      <c r="G69" s="16"/>
      <c r="H69" s="16"/>
      <c r="I69" s="16"/>
      <c r="J69" s="16"/>
      <c r="K69" s="16"/>
      <c r="L69" s="16"/>
      <c r="M69" s="11"/>
    </row>
    <row r="70" spans="1:13" x14ac:dyDescent="0.25">
      <c r="A70" s="25" t="s">
        <v>133</v>
      </c>
      <c r="B70" s="14"/>
      <c r="C70" s="15"/>
      <c r="D70" s="16"/>
      <c r="E70" s="16"/>
      <c r="F70" s="16"/>
      <c r="G70" s="16"/>
      <c r="H70" s="16"/>
      <c r="I70" s="16"/>
      <c r="J70" s="16"/>
      <c r="K70" s="16"/>
      <c r="L70" s="16"/>
      <c r="M70" s="11"/>
    </row>
    <row r="71" spans="1:13" ht="30.75" customHeight="1" x14ac:dyDescent="0.25">
      <c r="A71" s="334" t="s">
        <v>129</v>
      </c>
      <c r="B71" s="334"/>
      <c r="C71" s="334"/>
      <c r="D71" s="334"/>
      <c r="E71" s="334"/>
      <c r="F71" s="334"/>
      <c r="G71" s="334"/>
      <c r="H71" s="334"/>
      <c r="I71" s="334"/>
      <c r="J71" s="334"/>
      <c r="K71" s="334"/>
      <c r="L71" s="334"/>
      <c r="M71" s="334"/>
    </row>
    <row r="72" spans="1:13" x14ac:dyDescent="0.25">
      <c r="A72" s="34" t="s">
        <v>82</v>
      </c>
      <c r="B72" s="18"/>
      <c r="C72" s="18"/>
      <c r="D72" s="18"/>
      <c r="E72" s="18"/>
      <c r="F72" s="18"/>
      <c r="G72" s="18"/>
      <c r="H72" s="18"/>
      <c r="I72" s="18"/>
      <c r="J72" s="18"/>
      <c r="K72" s="18"/>
      <c r="L72" s="18"/>
      <c r="M72" s="18"/>
    </row>
    <row r="73" spans="1:13" x14ac:dyDescent="0.25">
      <c r="A73" s="65" t="s">
        <v>20</v>
      </c>
      <c r="B73" s="35"/>
      <c r="C73" s="35"/>
      <c r="D73" s="18"/>
      <c r="E73" s="18"/>
      <c r="F73" s="18"/>
      <c r="G73" s="18"/>
      <c r="H73" s="18"/>
      <c r="I73" s="18"/>
      <c r="J73" s="18"/>
      <c r="K73" s="18"/>
      <c r="L73" s="18"/>
      <c r="M73" s="18"/>
    </row>
    <row r="74" spans="1:13" x14ac:dyDescent="0.25">
      <c r="A74" s="89"/>
      <c r="B74" s="5"/>
      <c r="C74" s="88"/>
      <c r="D74" s="87"/>
    </row>
    <row r="75" spans="1:13" x14ac:dyDescent="0.25">
      <c r="A75" s="64"/>
      <c r="B75" s="87"/>
      <c r="C75" s="90"/>
      <c r="D75" s="87"/>
      <c r="E75"/>
      <c r="F75"/>
      <c r="G75"/>
      <c r="H75"/>
      <c r="I75"/>
      <c r="J75"/>
      <c r="K75"/>
      <c r="L75"/>
      <c r="M75"/>
    </row>
    <row r="76" spans="1:13" x14ac:dyDescent="0.25">
      <c r="A76" s="89"/>
      <c r="B76" s="87"/>
      <c r="C76" s="90"/>
      <c r="D76" s="87"/>
      <c r="E76"/>
      <c r="F76"/>
      <c r="G76"/>
      <c r="H76"/>
      <c r="I76"/>
      <c r="J76"/>
      <c r="K76"/>
      <c r="L76"/>
      <c r="M76"/>
    </row>
    <row r="77" spans="1:13" x14ac:dyDescent="0.25">
      <c r="A77" s="89"/>
      <c r="B77" s="87"/>
      <c r="C77" s="90"/>
      <c r="D77" s="87"/>
      <c r="E77"/>
      <c r="F77"/>
      <c r="G77"/>
      <c r="H77"/>
      <c r="I77"/>
      <c r="J77"/>
      <c r="K77"/>
      <c r="L77"/>
      <c r="M77"/>
    </row>
    <row r="78" spans="1:13" x14ac:dyDescent="0.25">
      <c r="A78" s="87"/>
      <c r="B78" s="87"/>
      <c r="C78" s="90"/>
      <c r="D78"/>
      <c r="E78"/>
      <c r="F78"/>
      <c r="G78"/>
      <c r="H78"/>
      <c r="I78"/>
      <c r="J78"/>
      <c r="K78"/>
      <c r="L78"/>
      <c r="M78"/>
    </row>
    <row r="79" spans="1:13" x14ac:dyDescent="0.25">
      <c r="A79" s="87"/>
      <c r="B79" s="87"/>
      <c r="C79" s="90"/>
      <c r="D79"/>
      <c r="E79"/>
      <c r="F79"/>
      <c r="G79"/>
      <c r="H79"/>
      <c r="I79"/>
      <c r="J79"/>
      <c r="K79"/>
      <c r="L79"/>
      <c r="M79"/>
    </row>
    <row r="80" spans="1:13" x14ac:dyDescent="0.25">
      <c r="A80" s="87"/>
      <c r="B80" s="87"/>
      <c r="C80" s="90"/>
      <c r="D80"/>
      <c r="E80"/>
      <c r="F80"/>
      <c r="G80"/>
      <c r="H80"/>
      <c r="I80"/>
      <c r="J80"/>
      <c r="K80"/>
      <c r="L80"/>
      <c r="M80"/>
    </row>
    <row r="81" spans="1:13" x14ac:dyDescent="0.25">
      <c r="A81" s="87"/>
      <c r="B81" s="87"/>
      <c r="C81" s="90"/>
      <c r="D81"/>
      <c r="E81"/>
      <c r="F81"/>
      <c r="G81"/>
      <c r="H81"/>
      <c r="I81"/>
      <c r="J81"/>
      <c r="K81"/>
      <c r="L81"/>
      <c r="M81"/>
    </row>
    <row r="82" spans="1:13" x14ac:dyDescent="0.25">
      <c r="A82" s="87"/>
      <c r="B82" s="87"/>
      <c r="C82" s="90"/>
      <c r="D82"/>
      <c r="E82"/>
      <c r="F82"/>
      <c r="G82"/>
      <c r="H82"/>
      <c r="I82"/>
      <c r="J82"/>
      <c r="K82"/>
      <c r="L82"/>
      <c r="M82"/>
    </row>
    <row r="83" spans="1:13" x14ac:dyDescent="0.25">
      <c r="A83" s="87"/>
      <c r="B83" s="87"/>
      <c r="C83" s="90"/>
      <c r="D83"/>
      <c r="E83"/>
      <c r="F83"/>
      <c r="G83"/>
      <c r="H83"/>
      <c r="I83"/>
      <c r="J83"/>
      <c r="K83"/>
      <c r="L83"/>
      <c r="M83"/>
    </row>
    <row r="84" spans="1:13" x14ac:dyDescent="0.25">
      <c r="A84" s="87"/>
      <c r="B84" s="87"/>
      <c r="C84" s="90"/>
      <c r="D84"/>
      <c r="E84"/>
      <c r="F84"/>
      <c r="G84"/>
      <c r="H84"/>
      <c r="I84"/>
      <c r="J84"/>
      <c r="K84"/>
      <c r="L84"/>
      <c r="M84"/>
    </row>
    <row r="85" spans="1:13" x14ac:dyDescent="0.25">
      <c r="A85" s="87"/>
      <c r="B85" s="87"/>
      <c r="C85" s="90"/>
      <c r="D85"/>
      <c r="E85"/>
      <c r="F85"/>
      <c r="G85"/>
      <c r="H85"/>
      <c r="I85"/>
      <c r="J85"/>
      <c r="K85"/>
      <c r="L85"/>
      <c r="M85"/>
    </row>
    <row r="86" spans="1:13" x14ac:dyDescent="0.25">
      <c r="A86" s="87"/>
      <c r="B86" s="87"/>
      <c r="C86" s="90"/>
      <c r="D86"/>
      <c r="E86"/>
      <c r="F86"/>
      <c r="G86"/>
      <c r="H86"/>
      <c r="I86"/>
      <c r="J86"/>
      <c r="K86"/>
      <c r="L86"/>
      <c r="M86"/>
    </row>
    <row r="87" spans="1:13" x14ac:dyDescent="0.25">
      <c r="A87" s="87"/>
      <c r="B87" s="87"/>
      <c r="C87" s="90"/>
      <c r="D87"/>
      <c r="E87"/>
      <c r="F87"/>
      <c r="G87"/>
      <c r="H87"/>
      <c r="I87"/>
      <c r="J87"/>
      <c r="K87"/>
      <c r="L87"/>
      <c r="M87"/>
    </row>
    <row r="88" spans="1:13" x14ac:dyDescent="0.25">
      <c r="B88"/>
      <c r="C88" s="6"/>
      <c r="D88"/>
      <c r="E88"/>
      <c r="F88"/>
      <c r="G88"/>
      <c r="H88"/>
      <c r="I88"/>
      <c r="J88"/>
      <c r="K88"/>
      <c r="L88"/>
      <c r="M88"/>
    </row>
    <row r="89" spans="1:13" x14ac:dyDescent="0.25">
      <c r="B89"/>
      <c r="C89" s="6"/>
      <c r="D89"/>
      <c r="E89"/>
      <c r="F89"/>
      <c r="G89"/>
      <c r="H89"/>
      <c r="I89"/>
      <c r="J89"/>
      <c r="K89"/>
      <c r="L89"/>
      <c r="M89"/>
    </row>
    <row r="90" spans="1:13" x14ac:dyDescent="0.25">
      <c r="B90"/>
      <c r="C90" s="6"/>
      <c r="D90"/>
      <c r="E90"/>
      <c r="F90"/>
      <c r="G90"/>
      <c r="H90"/>
      <c r="I90"/>
      <c r="J90"/>
      <c r="K90"/>
      <c r="L90"/>
      <c r="M90"/>
    </row>
    <row r="91" spans="1:13" x14ac:dyDescent="0.25">
      <c r="B91"/>
      <c r="C91" s="6"/>
      <c r="D91"/>
      <c r="E91"/>
      <c r="F91"/>
      <c r="G91"/>
      <c r="H91"/>
      <c r="I91"/>
      <c r="J91"/>
      <c r="K91"/>
      <c r="L91"/>
      <c r="M91"/>
    </row>
    <row r="92" spans="1:13" x14ac:dyDescent="0.25">
      <c r="B92"/>
      <c r="C92" s="6"/>
      <c r="D92"/>
      <c r="E92"/>
      <c r="F92"/>
      <c r="G92"/>
      <c r="H92"/>
      <c r="I92"/>
      <c r="J92"/>
      <c r="K92"/>
      <c r="L92"/>
      <c r="M92"/>
    </row>
  </sheetData>
  <mergeCells count="4">
    <mergeCell ref="B3:C3"/>
    <mergeCell ref="D3:M3"/>
    <mergeCell ref="A71:M71"/>
    <mergeCell ref="K2:M2"/>
  </mergeCells>
  <pageMargins left="0.7" right="0.7" top="0.75" bottom="0.75" header="0.3" footer="0.3"/>
  <pageSetup paperSize="9" scale="2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10</vt:i4>
      </vt:variant>
    </vt:vector>
  </HeadingPairs>
  <TitlesOfParts>
    <vt:vector size="21" baseType="lpstr">
      <vt:lpstr>Figure 1</vt:lpstr>
      <vt:lpstr>Figure 2</vt:lpstr>
      <vt:lpstr>Figure 3</vt:lpstr>
      <vt:lpstr>Figure 4</vt:lpstr>
      <vt:lpstr>Figure 5</vt:lpstr>
      <vt:lpstr>Figure 6</vt:lpstr>
      <vt:lpstr>Figure 7</vt:lpstr>
      <vt:lpstr>Figure 8</vt:lpstr>
      <vt:lpstr>Figure 9</vt:lpstr>
      <vt:lpstr>Figure complémentaire 1</vt:lpstr>
      <vt:lpstr>Figure complémentaire 2</vt:lpstr>
      <vt:lpstr>'Figure 1'!Zone_d_impression</vt:lpstr>
      <vt:lpstr>'Figure 2'!Zone_d_impression</vt:lpstr>
      <vt:lpstr>'Figure 3'!Zone_d_impression</vt:lpstr>
      <vt:lpstr>'Figure 4'!Zone_d_impression</vt:lpstr>
      <vt:lpstr>'Figure 5'!Zone_d_impression</vt:lpstr>
      <vt:lpstr>'Figure 6'!Zone_d_impression</vt:lpstr>
      <vt:lpstr>'Figure 7'!Zone_d_impression</vt:lpstr>
      <vt:lpstr>'Figure 8'!Zone_d_impression</vt:lpstr>
      <vt:lpstr>'Figure 9'!Zone_d_impression</vt:lpstr>
      <vt:lpstr>'Figure complémentaire 1'!Zone_d_impression</vt:lpstr>
    </vt:vector>
  </TitlesOfParts>
  <Company>INSEE-SNPT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Mathias ANDRÉ</dc:creator>
  <cp:lastModifiedBy>Pujol Séverine</cp:lastModifiedBy>
  <cp:lastPrinted>2021-02-22T17:00:33Z</cp:lastPrinted>
  <dcterms:created xsi:type="dcterms:W3CDTF">2020-07-30T09:57:58Z</dcterms:created>
  <dcterms:modified xsi:type="dcterms:W3CDTF">2021-05-31T06:14:05Z</dcterms:modified>
</cp:coreProperties>
</file>